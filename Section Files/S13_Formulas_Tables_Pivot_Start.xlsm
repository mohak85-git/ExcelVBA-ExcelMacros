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90572900be76b/Unlock Excel VBA and Excel Macros - Udemy/Section Files/"/>
    </mc:Choice>
  </mc:AlternateContent>
  <xr:revisionPtr revIDLastSave="289" documentId="8_{6C45644E-22D1-47BF-8168-5431488AD002}" xr6:coauthVersionLast="47" xr6:coauthVersionMax="47" xr10:uidLastSave="{CDC34F0B-5F89-469E-9CA3-04039EC012E8}"/>
  <bookViews>
    <workbookView xWindow="38295" yWindow="-90" windowWidth="21165" windowHeight="16305" activeTab="5" xr2:uid="{00000000-000D-0000-FFFF-FFFF00000000}"/>
  </bookViews>
  <sheets>
    <sheet name="Purpose" sheetId="4" r:id="rId1"/>
    <sheet name="Formulas" sheetId="2" r:id="rId2"/>
    <sheet name="Tables" sheetId="5" r:id="rId3"/>
    <sheet name="PivotTables" sheetId="6" r:id="rId4"/>
    <sheet name="Table2" sheetId="7" r:id="rId5"/>
    <sheet name="Activity" sheetId="3" r:id="rId6"/>
  </sheets>
  <calcPr calcId="191029"/>
  <pivotCaches>
    <pivotCache cacheId="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3" l="1"/>
  <c r="J22" i="3"/>
  <c r="I22" i="3"/>
  <c r="H22" i="3"/>
  <c r="K21" i="3"/>
  <c r="J21" i="3"/>
  <c r="I21" i="3"/>
  <c r="H21" i="3"/>
  <c r="K20" i="3"/>
  <c r="J20" i="3"/>
  <c r="I20" i="3"/>
  <c r="H20" i="3"/>
  <c r="K19" i="3"/>
  <c r="J19" i="3"/>
  <c r="I19" i="3"/>
  <c r="H19" i="3"/>
  <c r="K18" i="3"/>
  <c r="J18" i="3"/>
  <c r="I18" i="3"/>
  <c r="H18" i="3"/>
  <c r="K17" i="3"/>
  <c r="J17" i="3"/>
  <c r="I17" i="3"/>
  <c r="H17" i="3"/>
  <c r="K16" i="3"/>
  <c r="J16" i="3"/>
  <c r="I16" i="3"/>
  <c r="H16" i="3"/>
  <c r="K15" i="3"/>
  <c r="J15" i="3"/>
  <c r="I15" i="3"/>
  <c r="H15" i="3"/>
  <c r="K14" i="3"/>
  <c r="J14" i="3"/>
  <c r="I14" i="3"/>
  <c r="H14" i="3"/>
  <c r="K13" i="3"/>
  <c r="J13" i="3"/>
  <c r="I13" i="3"/>
  <c r="H13" i="3"/>
  <c r="K12" i="3"/>
  <c r="J12" i="3"/>
  <c r="I12" i="3"/>
  <c r="H12" i="3"/>
  <c r="K11" i="3"/>
  <c r="J11" i="3"/>
  <c r="I11" i="3"/>
  <c r="H11" i="3"/>
  <c r="K10" i="3"/>
  <c r="J10" i="3"/>
  <c r="I10" i="3"/>
  <c r="H10" i="3"/>
  <c r="K9" i="3"/>
  <c r="J9" i="3"/>
  <c r="I9" i="3"/>
  <c r="H9" i="3"/>
  <c r="K8" i="3"/>
  <c r="J8" i="3"/>
  <c r="I8" i="3"/>
  <c r="H8" i="3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" i="2"/>
</calcChain>
</file>

<file path=xl/sharedStrings.xml><?xml version="1.0" encoding="utf-8"?>
<sst xmlns="http://schemas.openxmlformats.org/spreadsheetml/2006/main" count="273" uniqueCount="70">
  <si>
    <t>Link</t>
  </si>
  <si>
    <t>Topic Covered</t>
  </si>
  <si>
    <t>What you Learn</t>
  </si>
  <si>
    <t>Company ID</t>
  </si>
  <si>
    <t>Sales Document</t>
  </si>
  <si>
    <t>Customer code</t>
  </si>
  <si>
    <t>Article code</t>
  </si>
  <si>
    <t>Quantity</t>
  </si>
  <si>
    <t>AT1030</t>
  </si>
  <si>
    <t>1030SE6</t>
  </si>
  <si>
    <t>1030NL40</t>
  </si>
  <si>
    <t>1030AT</t>
  </si>
  <si>
    <t>1040DE</t>
  </si>
  <si>
    <t>Actual</t>
  </si>
  <si>
    <t>PY</t>
  </si>
  <si>
    <t>Budget</t>
  </si>
  <si>
    <t>Variance Actual to PY</t>
  </si>
  <si>
    <t>Variance Actual to Budget</t>
  </si>
  <si>
    <t>App</t>
  </si>
  <si>
    <t>Revenue</t>
  </si>
  <si>
    <t>Profit</t>
  </si>
  <si>
    <t>Revenue%</t>
  </si>
  <si>
    <t>Profit%</t>
  </si>
  <si>
    <t>WenCaL</t>
  </si>
  <si>
    <t>Blend</t>
  </si>
  <si>
    <t>Voltage</t>
  </si>
  <si>
    <t>Inkly</t>
  </si>
  <si>
    <t>Sleops</t>
  </si>
  <si>
    <t>Kind Ape</t>
  </si>
  <si>
    <t>Pet Feed</t>
  </si>
  <si>
    <t>Right App</t>
  </si>
  <si>
    <t>Mirrrr</t>
  </si>
  <si>
    <t>Halotot</t>
  </si>
  <si>
    <t>Flowrrr</t>
  </si>
  <si>
    <t>Silvrr</t>
  </si>
  <si>
    <t>Dasring</t>
  </si>
  <si>
    <t>Rehire</t>
  </si>
  <si>
    <t>Didactic</t>
  </si>
  <si>
    <t>NA</t>
  </si>
  <si>
    <t>Adjust all Formulas by Adding IFERROR at Once</t>
  </si>
  <si>
    <t>Create a macro that locates all formulas on the worksheet and adds an IFERROR to the formula</t>
  </si>
  <si>
    <t>Note that - Not all formulas are the same - formula in cell J8 is not the same as in H8.</t>
  </si>
  <si>
    <t>This means that you can't just adjust H8 and copy all the way to K22. You need to make sure the existing formulas are not touched.</t>
  </si>
  <si>
    <t>Using Excel Formulas in VBA</t>
  </si>
  <si>
    <t xml:space="preserve">The macro adds a special formula to column F. </t>
  </si>
  <si>
    <t>Excel Tables - Use the Right Syntax</t>
  </si>
  <si>
    <t>Pivot Tables - What you Need to Know</t>
  </si>
  <si>
    <t>2nd Table for testing PivotTables</t>
  </si>
  <si>
    <t>2. Change the layout of the PivotTable</t>
  </si>
  <si>
    <t>3. Refresh all Pivot Tables (or specific PivotTables)</t>
  </si>
  <si>
    <t>4. Create a 2nd Pivot and change the Pivot Source data to reference Table inside Table2 tab</t>
  </si>
  <si>
    <t>5. Change Pivot Cache of PivotTable 2 to match PivotTable1's source data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</si>
  <si>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Creating a PivotTable
● How to format a PivotTable
● How to refresh all or a specific PivotTable
● How to change the source data of a PivotTable
● How to change an existing Pivot Cache to another Pivot Cache</t>
    </r>
  </si>
  <si>
    <t>How to use "usual" Excel formulas in Excel reports</t>
  </si>
  <si>
    <t>The various syntax you need to work with Excel tables for example:
● How to reference the data range
● How to add new rows or columns
● How to reference a specific row or column</t>
  </si>
  <si>
    <t>Formulas</t>
  </si>
  <si>
    <t>Tables</t>
  </si>
  <si>
    <t>PivotTables</t>
  </si>
  <si>
    <t>Activity</t>
  </si>
  <si>
    <t>Create a VBA routine to adjust existing formulas by adding the IFERROR function to the formulas</t>
  </si>
  <si>
    <t>It's easiest is to record formulas with the macro recorder. This ensures they are always recorded with the English Library which is the default for all VBA applications.</t>
  </si>
  <si>
    <t>Answer is in the completed Workbook in Module "ProjectActivity"</t>
  </si>
  <si>
    <t>For sales documents starting with 8, quantity has been overstated by 50 . Column F should show the corrected Quantity only for these sales documents.</t>
  </si>
  <si>
    <t>We'd also like to highlight the row from A to E if the revised quantity is &lt;= 100.</t>
  </si>
  <si>
    <t>1. Record a macro that creates a PivotTable based on the CompTable and places it inside A8</t>
  </si>
  <si>
    <t>New</t>
  </si>
  <si>
    <t>Row Labels</t>
  </si>
  <si>
    <t>Grand Total</t>
  </si>
  <si>
    <t>Sum of Quantity</t>
  </si>
  <si>
    <t>%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</si>
</sst>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\(#,##0\)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E2E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Border="1"/>
    <xf numFmtId="0" fontId="4" fillId="5" borderId="0" xfId="0" applyFont="1" applyFill="1" applyAlignment="1">
      <alignment horizontal="center" vertical="center" wrapText="1"/>
    </xf>
    <xf numFmtId="0" fontId="5" fillId="0" borderId="0" xfId="0" applyFont="1"/>
    <xf numFmtId="9" fontId="0" fillId="0" borderId="0" xfId="1" applyFont="1"/>
    <xf numFmtId="0" fontId="0" fillId="6" borderId="0" xfId="0" applyFill="1"/>
    <xf numFmtId="0" fontId="0" fillId="7" borderId="0" xfId="0" applyFill="1"/>
    <xf numFmtId="0" fontId="4" fillId="8" borderId="0" xfId="0" applyFont="1" applyFill="1" applyAlignment="1">
      <alignment horizontal="center" vertical="center" wrapText="1"/>
    </xf>
    <xf numFmtId="0" fontId="0" fillId="0" borderId="0" xfId="0" quotePrefix="1"/>
    <xf numFmtId="0" fontId="0" fillId="3" borderId="0" xfId="0" applyFill="1"/>
    <xf numFmtId="0" fontId="9" fillId="0" borderId="6" xfId="2" applyFill="1" applyBorder="1" applyAlignment="1">
      <alignment vertical="top"/>
    </xf>
    <xf numFmtId="0" fontId="0" fillId="2" borderId="0" xfId="0" applyFill="1" applyAlignment="1">
      <alignment vertical="top"/>
    </xf>
    <xf numFmtId="0" fontId="9" fillId="0" borderId="5" xfId="2" applyFill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8" fillId="0" borderId="2" xfId="0" applyFont="1" applyBorder="1" applyAlignment="1">
      <alignment vertical="top" wrapText="1"/>
    </xf>
    <xf numFmtId="0" fontId="0" fillId="3" borderId="2" xfId="0" applyFill="1" applyBorder="1" applyAlignment="1">
      <alignment vertical="top" wrapText="1"/>
    </xf>
    <xf numFmtId="0" fontId="10" fillId="0" borderId="0" xfId="0" applyFont="1"/>
    <xf numFmtId="0" fontId="5" fillId="9" borderId="0" xfId="0" applyFont="1" applyFill="1"/>
    <xf numFmtId="0" fontId="0" fillId="9" borderId="0" xfId="0" applyFill="1"/>
    <xf numFmtId="0" fontId="0" fillId="0" borderId="0" xfId="0" pivotButton="1"/>
    <xf numFmtId="0" fontId="0" fillId="0" borderId="0" xfId="0" applyAlignment="1">
      <alignment horizontal="left"/>
    </xf>
    <xf numFmtId="10" fontId="0" fillId="10" borderId="0" xfId="0" applyNumberFormat="1" applyFill="1"/>
    <xf numFmtId="164" fontId="0" fillId="10" borderId="0" xfId="0" applyNumberFormat="1" applyFill="1"/>
  </cellXfs>
  <cellStyles count="3">
    <cellStyle name="Hyperlink" xfId="2" builtinId="8"/>
    <cellStyle name="Normal" xfId="0" builtinId="0"/>
    <cellStyle name="Percent" xfId="1" builtinId="5"/>
  </cellStyles>
  <dxfs count="14">
    <dxf>
      <fill>
        <patternFill patternType="solid">
          <bgColor rgb="FFE2E2E2"/>
        </patternFill>
      </fill>
    </dxf>
    <dxf>
      <numFmt numFmtId="164" formatCode="#,##0;\(#,##0\)"/>
    </dxf>
    <dxf>
      <numFmt numFmtId="164" formatCode="#,##0;\(#,##0\)"/>
    </dxf>
    <dxf>
      <fill>
        <patternFill patternType="solid">
          <bgColor rgb="FFE2E2E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2E2E2"/>
      <color rgb="FF2981B9"/>
      <color rgb="FF29BD7D"/>
      <color rgb="FF9DA85E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208260B-4099-4D21-A056-45F9F77C07C4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407585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05C5B07-CEC1-4A18-8D11-799FA18E5F44}"/>
            </a:ext>
          </a:extLst>
        </xdr:cNvPr>
        <xdr:cNvSpPr txBox="1"/>
      </xdr:nvSpPr>
      <xdr:spPr>
        <a:xfrm>
          <a:off x="2166937" y="147638"/>
          <a:ext cx="407585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Excel Tables, Formulas &amp; Pivot Tables</a:t>
          </a:r>
        </a:p>
      </xdr:txBody>
    </xdr:sp>
    <xdr:clientData/>
  </xdr:oneCellAnchor>
  <xdr:twoCellAnchor editAs="oneCell">
    <xdr:from>
      <xdr:col>7</xdr:col>
      <xdr:colOff>209550</xdr:colOff>
      <xdr:row>13</xdr:row>
      <xdr:rowOff>23813</xdr:rowOff>
    </xdr:from>
    <xdr:to>
      <xdr:col>7</xdr:col>
      <xdr:colOff>1820699</xdr:colOff>
      <xdr:row>13</xdr:row>
      <xdr:rowOff>172932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5A53CA-96F7-472E-8CD5-A4D917958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4376738"/>
          <a:ext cx="1611149" cy="14911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ammed Akbar" refreshedDate="45283.554178819446" createdVersion="8" refreshedVersion="8" minRefreshableVersion="3" recordCount="77" xr:uid="{E38060D7-A48E-49F1-810D-C19A087B93D3}">
  <cacheSource type="worksheet">
    <worksheetSource name="CompTable"/>
  </cacheSource>
  <cacheFields count="6">
    <cacheField name="Company ID" numFmtId="0">
      <sharedItems/>
    </cacheField>
    <cacheField name="Sales Document" numFmtId="0">
      <sharedItems containsSemiMixedTypes="0" containsString="0" containsNumber="1" containsInteger="1" minValue="44015" maxValue="88666"/>
    </cacheField>
    <cacheField name="Customer code" numFmtId="0">
      <sharedItems containsSemiMixedTypes="0" containsString="0" containsNumber="1" containsInteger="1" minValue="8030" maxValue="8060" count="4">
        <n v="8050"/>
        <n v="8040"/>
        <n v="8030"/>
        <n v="8060"/>
      </sharedItems>
    </cacheField>
    <cacheField name="Article code" numFmtId="0">
      <sharedItems containsSemiMixedTypes="0" containsString="0" containsNumber="1" containsInteger="1" minValue="103" maxValue="120" count="12">
        <n v="120"/>
        <n v="104"/>
        <n v="105"/>
        <n v="107"/>
        <n v="110"/>
        <n v="119"/>
        <n v="116"/>
        <n v="111"/>
        <n v="109"/>
        <n v="103"/>
        <n v="115"/>
        <n v="108"/>
      </sharedItems>
    </cacheField>
    <cacheField name="Quantity" numFmtId="0">
      <sharedItems containsSemiMixedTypes="0" containsString="0" containsNumber="1" containsInteger="1" minValue="50" maxValue="920"/>
    </cacheField>
    <cacheField name="New" numFmtId="0">
      <sharedItems containsMixedTypes="1" containsNumber="1" containsInteger="1" minValue="60" maxValue="8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">
  <r>
    <s v="AT1030"/>
    <n v="84030"/>
    <x v="0"/>
    <x v="0"/>
    <n v="130"/>
    <n v="80"/>
  </r>
  <r>
    <s v="AT1030"/>
    <n v="84030"/>
    <x v="0"/>
    <x v="1"/>
    <n v="530"/>
    <n v="480"/>
  </r>
  <r>
    <s v="AT1030"/>
    <n v="84030"/>
    <x v="0"/>
    <x v="2"/>
    <n v="130"/>
    <n v="80"/>
  </r>
  <r>
    <s v="AT1030"/>
    <n v="84030"/>
    <x v="0"/>
    <x v="3"/>
    <n v="740"/>
    <n v="690"/>
  </r>
  <r>
    <s v="AT1030"/>
    <n v="84031"/>
    <x v="1"/>
    <x v="1"/>
    <n v="920"/>
    <n v="870"/>
  </r>
  <r>
    <s v="AT1030"/>
    <n v="84031"/>
    <x v="1"/>
    <x v="3"/>
    <n v="810"/>
    <n v="760"/>
  </r>
  <r>
    <s v="AT1030"/>
    <n v="84031"/>
    <x v="1"/>
    <x v="4"/>
    <n v="550"/>
    <n v="500"/>
  </r>
  <r>
    <s v="AT1030"/>
    <n v="88112"/>
    <x v="1"/>
    <x v="4"/>
    <n v="530"/>
    <n v="480"/>
  </r>
  <r>
    <s v="AT1030"/>
    <n v="88112"/>
    <x v="1"/>
    <x v="5"/>
    <n v="690"/>
    <n v="640"/>
  </r>
  <r>
    <s v="AT1030"/>
    <n v="88112"/>
    <x v="1"/>
    <x v="0"/>
    <n v="150"/>
    <n v="100"/>
  </r>
  <r>
    <s v="AT1030"/>
    <n v="88112"/>
    <x v="1"/>
    <x v="6"/>
    <n v="810"/>
    <n v="760"/>
  </r>
  <r>
    <s v="AT1030"/>
    <n v="88112"/>
    <x v="1"/>
    <x v="7"/>
    <n v="640"/>
    <n v="590"/>
  </r>
  <r>
    <s v="1030SE6"/>
    <n v="88112"/>
    <x v="1"/>
    <x v="4"/>
    <n v="570"/>
    <n v="520"/>
  </r>
  <r>
    <s v="1030SE6"/>
    <n v="88112"/>
    <x v="1"/>
    <x v="8"/>
    <n v="260"/>
    <n v="210"/>
  </r>
  <r>
    <s v="1030SE6"/>
    <n v="85442"/>
    <x v="0"/>
    <x v="3"/>
    <n v="270"/>
    <n v="220"/>
  </r>
  <r>
    <s v="1030SE6"/>
    <n v="85442"/>
    <x v="0"/>
    <x v="9"/>
    <n v="670"/>
    <n v="620"/>
  </r>
  <r>
    <s v="1030SE6"/>
    <n v="85442"/>
    <x v="0"/>
    <x v="1"/>
    <n v="470"/>
    <n v="420"/>
  </r>
  <r>
    <s v="1030SE6"/>
    <n v="85442"/>
    <x v="0"/>
    <x v="0"/>
    <n v="530"/>
    <n v="480"/>
  </r>
  <r>
    <s v="1030SE6"/>
    <n v="85442"/>
    <x v="0"/>
    <x v="5"/>
    <n v="360"/>
    <n v="310"/>
  </r>
  <r>
    <s v="1030SE6"/>
    <n v="85442"/>
    <x v="0"/>
    <x v="10"/>
    <n v="840"/>
    <n v="790"/>
  </r>
  <r>
    <s v="1030SE6"/>
    <n v="85442"/>
    <x v="0"/>
    <x v="11"/>
    <n v="830"/>
    <n v="780"/>
  </r>
  <r>
    <s v="1030SE6"/>
    <n v="88588"/>
    <x v="1"/>
    <x v="0"/>
    <n v="500"/>
    <n v="450"/>
  </r>
  <r>
    <s v="1030SE6"/>
    <n v="88588"/>
    <x v="1"/>
    <x v="5"/>
    <n v="890"/>
    <n v="840"/>
  </r>
  <r>
    <s v="1030NL40"/>
    <n v="88588"/>
    <x v="1"/>
    <x v="4"/>
    <n v="180"/>
    <n v="130"/>
  </r>
  <r>
    <s v="1030NL40"/>
    <n v="88588"/>
    <x v="1"/>
    <x v="7"/>
    <n v="780"/>
    <n v="730"/>
  </r>
  <r>
    <s v="1030NL40"/>
    <n v="88588"/>
    <x v="1"/>
    <x v="8"/>
    <n v="590"/>
    <n v="540"/>
  </r>
  <r>
    <s v="1030NL40"/>
    <n v="88588"/>
    <x v="1"/>
    <x v="2"/>
    <n v="130"/>
    <n v="80"/>
  </r>
  <r>
    <s v="1030NL40"/>
    <n v="88588"/>
    <x v="1"/>
    <x v="9"/>
    <n v="110"/>
    <n v="60"/>
  </r>
  <r>
    <s v="1030NL40"/>
    <n v="88544"/>
    <x v="1"/>
    <x v="3"/>
    <n v="800"/>
    <n v="750"/>
  </r>
  <r>
    <s v="1030NL40"/>
    <n v="88544"/>
    <x v="1"/>
    <x v="0"/>
    <n v="300"/>
    <n v="250"/>
  </r>
  <r>
    <s v="1030NL40"/>
    <n v="88666"/>
    <x v="2"/>
    <x v="5"/>
    <n v="330"/>
    <n v="280"/>
  </r>
  <r>
    <s v="1030NL40"/>
    <n v="88666"/>
    <x v="2"/>
    <x v="3"/>
    <n v="490"/>
    <n v="440"/>
  </r>
  <r>
    <s v="1030NL40"/>
    <n v="88666"/>
    <x v="2"/>
    <x v="2"/>
    <n v="500"/>
    <n v="450"/>
  </r>
  <r>
    <s v="1030AT"/>
    <n v="88666"/>
    <x v="2"/>
    <x v="10"/>
    <n v="390"/>
    <n v="340"/>
  </r>
  <r>
    <s v="1030AT"/>
    <n v="88666"/>
    <x v="2"/>
    <x v="6"/>
    <n v="260"/>
    <n v="210"/>
  </r>
  <r>
    <s v="1040DE"/>
    <n v="44030"/>
    <x v="3"/>
    <x v="11"/>
    <n v="60"/>
    <s v=""/>
  </r>
  <r>
    <s v="1040DE"/>
    <n v="44030"/>
    <x v="3"/>
    <x v="8"/>
    <n v="60"/>
    <s v=""/>
  </r>
  <r>
    <s v="1040DE"/>
    <n v="44032"/>
    <x v="3"/>
    <x v="11"/>
    <n v="60"/>
    <s v=""/>
  </r>
  <r>
    <s v="1040DE"/>
    <n v="44032"/>
    <x v="3"/>
    <x v="8"/>
    <n v="70"/>
    <s v=""/>
  </r>
  <r>
    <s v="1040DE"/>
    <n v="44031"/>
    <x v="0"/>
    <x v="11"/>
    <n v="60"/>
    <s v=""/>
  </r>
  <r>
    <s v="1040DE"/>
    <n v="44031"/>
    <x v="0"/>
    <x v="8"/>
    <n v="50"/>
    <s v=""/>
  </r>
  <r>
    <s v="1040DE"/>
    <n v="44031"/>
    <x v="0"/>
    <x v="4"/>
    <n v="60"/>
    <s v=""/>
  </r>
  <r>
    <s v="1040DE"/>
    <n v="48112"/>
    <x v="3"/>
    <x v="8"/>
    <n v="60"/>
    <s v=""/>
  </r>
  <r>
    <s v="1040DE"/>
    <n v="48112"/>
    <x v="3"/>
    <x v="4"/>
    <n v="50"/>
    <s v=""/>
  </r>
  <r>
    <s v="1040DE"/>
    <n v="48114"/>
    <x v="0"/>
    <x v="8"/>
    <n v="60"/>
    <s v=""/>
  </r>
  <r>
    <s v="1040DE"/>
    <n v="48114"/>
    <x v="0"/>
    <x v="4"/>
    <n v="60"/>
    <s v=""/>
  </r>
  <r>
    <s v="1040DE"/>
    <n v="48114"/>
    <x v="0"/>
    <x v="7"/>
    <n v="80"/>
    <s v=""/>
  </r>
  <r>
    <s v="1040DE"/>
    <n v="48116"/>
    <x v="3"/>
    <x v="8"/>
    <n v="60"/>
    <s v=""/>
  </r>
  <r>
    <s v="1040DE"/>
    <n v="48116"/>
    <x v="3"/>
    <x v="4"/>
    <n v="60"/>
    <s v=""/>
  </r>
  <r>
    <s v="1040DE"/>
    <n v="45442"/>
    <x v="0"/>
    <x v="11"/>
    <n v="50"/>
    <s v=""/>
  </r>
  <r>
    <s v="1040DE"/>
    <n v="45442"/>
    <x v="0"/>
    <x v="8"/>
    <n v="60"/>
    <s v=""/>
  </r>
  <r>
    <s v="1040DE"/>
    <n v="45444"/>
    <x v="3"/>
    <x v="11"/>
    <n v="60"/>
    <s v=""/>
  </r>
  <r>
    <s v="1040DE"/>
    <n v="45444"/>
    <x v="3"/>
    <x v="8"/>
    <n v="70"/>
    <s v=""/>
  </r>
  <r>
    <s v="1040DE"/>
    <n v="45444"/>
    <x v="3"/>
    <x v="4"/>
    <n v="60"/>
    <s v=""/>
  </r>
  <r>
    <s v="1040DE"/>
    <n v="45446"/>
    <x v="0"/>
    <x v="7"/>
    <n v="80"/>
    <s v=""/>
  </r>
  <r>
    <s v="1040DE"/>
    <n v="45446"/>
    <x v="0"/>
    <x v="11"/>
    <n v="50"/>
    <s v=""/>
  </r>
  <r>
    <s v="1040DE"/>
    <n v="44015"/>
    <x v="3"/>
    <x v="11"/>
    <n v="60"/>
    <s v=""/>
  </r>
  <r>
    <s v="1040DE"/>
    <n v="44015"/>
    <x v="3"/>
    <x v="8"/>
    <n v="70"/>
    <s v=""/>
  </r>
  <r>
    <s v="1040DE"/>
    <n v="44017"/>
    <x v="3"/>
    <x v="11"/>
    <n v="70"/>
    <s v=""/>
  </r>
  <r>
    <s v="1040DE"/>
    <n v="44017"/>
    <x v="3"/>
    <x v="8"/>
    <n v="70"/>
    <s v=""/>
  </r>
  <r>
    <s v="1040DE"/>
    <n v="44016"/>
    <x v="0"/>
    <x v="11"/>
    <n v="70"/>
    <s v=""/>
  </r>
  <r>
    <s v="1040DE"/>
    <n v="44016"/>
    <x v="0"/>
    <x v="8"/>
    <n v="60"/>
    <s v=""/>
  </r>
  <r>
    <s v="1040DE"/>
    <n v="44016"/>
    <x v="0"/>
    <x v="4"/>
    <n v="50"/>
    <s v=""/>
  </r>
  <r>
    <s v="1040DE"/>
    <n v="48097"/>
    <x v="3"/>
    <x v="8"/>
    <n v="60"/>
    <s v=""/>
  </r>
  <r>
    <s v="1040DE"/>
    <n v="48097"/>
    <x v="3"/>
    <x v="4"/>
    <n v="70"/>
    <s v=""/>
  </r>
  <r>
    <s v="1040DE"/>
    <n v="48099"/>
    <x v="0"/>
    <x v="8"/>
    <n v="60"/>
    <s v=""/>
  </r>
  <r>
    <s v="1040DE"/>
    <n v="48099"/>
    <x v="0"/>
    <x v="4"/>
    <n v="60"/>
    <s v=""/>
  </r>
  <r>
    <s v="1040DE"/>
    <n v="48099"/>
    <x v="0"/>
    <x v="7"/>
    <n v="60"/>
    <s v=""/>
  </r>
  <r>
    <s v="1040DE"/>
    <n v="48101"/>
    <x v="3"/>
    <x v="8"/>
    <n v="60"/>
    <s v=""/>
  </r>
  <r>
    <s v="1040DE"/>
    <n v="48101"/>
    <x v="3"/>
    <x v="4"/>
    <n v="50"/>
    <s v=""/>
  </r>
  <r>
    <s v="1040DE"/>
    <n v="45427"/>
    <x v="0"/>
    <x v="11"/>
    <n v="70"/>
    <s v=""/>
  </r>
  <r>
    <s v="1040DE"/>
    <n v="45427"/>
    <x v="0"/>
    <x v="8"/>
    <n v="60"/>
    <s v=""/>
  </r>
  <r>
    <s v="1040DE"/>
    <n v="45429"/>
    <x v="3"/>
    <x v="11"/>
    <n v="80"/>
    <s v=""/>
  </r>
  <r>
    <s v="1040DE"/>
    <n v="45429"/>
    <x v="3"/>
    <x v="8"/>
    <n v="80"/>
    <s v=""/>
  </r>
  <r>
    <s v="1040DE"/>
    <n v="45429"/>
    <x v="3"/>
    <x v="4"/>
    <n v="50"/>
    <s v=""/>
  </r>
  <r>
    <s v="1040DE"/>
    <n v="45431"/>
    <x v="0"/>
    <x v="7"/>
    <n v="60"/>
    <s v=""/>
  </r>
  <r>
    <s v="1040DE"/>
    <n v="45431"/>
    <x v="0"/>
    <x v="11"/>
    <n v="6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2225CD-CFF8-4F90-AAB3-D654C4C8DEDC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8:G21" firstHeaderRow="1" firstDataRow="1" firstDataCol="1"/>
  <pivotFields count="6">
    <pivotField showAll="0"/>
    <pivotField showAll="0"/>
    <pivotField showAll="0"/>
    <pivotField axis="axisRow" showAll="0">
      <items count="13">
        <item x="9"/>
        <item x="1"/>
        <item x="2"/>
        <item x="3"/>
        <item x="8"/>
        <item x="4"/>
        <item x="7"/>
        <item x="6"/>
        <item x="5"/>
        <item x="0"/>
        <item x="10"/>
        <item x="11"/>
        <item t="default"/>
      </items>
    </pivotField>
    <pivotField dataField="1"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Quantity" fld="4" baseField="0" baseItem="0" numFmtId="164"/>
  </dataFields>
  <formats count="2">
    <format dxfId="0">
      <pivotArea outline="0" collapsedLevelsAreSubtotals="1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8387D5-A93D-4B1E-95E5-823652A7658D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C13" firstHeaderRow="0" firstDataRow="1" firstDataCol="1"/>
  <pivotFields count="6"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dataField="1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uantity" fld="4" baseField="0" baseItem="0" numFmtId="164"/>
    <dataField name="% Quantity" fld="4" showDataAs="percentOfTotal" baseField="0" baseItem="0" numFmtId="10"/>
  </dataFields>
  <formats count="2"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1924E5-7D36-4F93-92CF-7498EB14E5F9}" name="CompTable" displayName="CompTable" ref="A3:F80" totalsRowShown="0" headerRowDxfId="13">
  <autoFilter ref="A3:F80" xr:uid="{D41924E5-7D36-4F93-92CF-7498EB14E5F9}"/>
  <tableColumns count="6">
    <tableColumn id="1" xr3:uid="{33C43A41-4F15-4AAB-B99D-9DD4E2DF07D5}" name="Company ID" dataDxfId="12"/>
    <tableColumn id="2" xr3:uid="{EE0101B2-7C8F-4E48-AB04-AF47A8C2667D}" name="Sales Document"/>
    <tableColumn id="3" xr3:uid="{994128F2-B3F2-4A13-9773-E86F5A0BEC35}" name="Customer code"/>
    <tableColumn id="4" xr3:uid="{D0053694-9708-4976-9D46-8201D146BAE4}" name="Article code"/>
    <tableColumn id="5" xr3:uid="{F1CF9DE4-9A10-427E-837A-91C6C4E65C75}" name="Quantity"/>
    <tableColumn id="7" xr3:uid="{4DC5119D-5A58-4A9B-B36E-7291511385C3}" name="New" dataDxfId="11">
      <calculatedColumnFormula>IF(VALUE(LEFT(B4,1))=8,E4-50,"")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ompnew" displayName="compnew" ref="A4:E20" totalsRowShown="0" headerRowDxfId="10" dataDxfId="9">
  <autoFilter ref="A4:E20" xr:uid="{00000000-0009-0000-0100-000002000000}"/>
  <tableColumns count="5">
    <tableColumn id="1" xr3:uid="{00000000-0010-0000-0000-000001000000}" name="Company ID" dataDxfId="8"/>
    <tableColumn id="2" xr3:uid="{00000000-0010-0000-0000-000002000000}" name="Sales Document" dataDxfId="7"/>
    <tableColumn id="3" xr3:uid="{00000000-0010-0000-0000-000003000000}" name="Customer code" dataDxfId="6"/>
    <tableColumn id="4" xr3:uid="{00000000-0010-0000-0000-000004000000}" name="Article code" dataDxfId="5"/>
    <tableColumn id="5" xr3:uid="{00000000-0010-0000-0000-000005000000}" name="Quantity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6666"/>
    <pageSetUpPr fitToPage="1"/>
  </sheetPr>
  <dimension ref="A1:L21"/>
  <sheetViews>
    <sheetView showGridLines="0" workbookViewId="0">
      <selection activeCell="C10" sqref="C10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2" customWidth="1"/>
    <col min="5" max="5" width="1" customWidth="1"/>
    <col min="6" max="6" width="51.710937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ht="15" x14ac:dyDescent="0.2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ht="15" x14ac:dyDescent="0.2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ht="15" x14ac:dyDescent="0.2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.75" x14ac:dyDescent="0.3">
      <c r="A5" s="1"/>
      <c r="B5" s="8"/>
      <c r="C5" s="3" t="s">
        <v>0</v>
      </c>
      <c r="D5" s="10" t="s">
        <v>1</v>
      </c>
      <c r="E5" s="8"/>
      <c r="F5" s="3" t="s">
        <v>2</v>
      </c>
      <c r="G5" s="3"/>
      <c r="H5" s="3"/>
      <c r="I5" s="8"/>
      <c r="J5" s="8"/>
      <c r="K5" s="1"/>
      <c r="L5" s="1"/>
    </row>
    <row r="6" spans="1:12" ht="18.75" x14ac:dyDescent="0.3">
      <c r="A6" s="1"/>
      <c r="B6" s="11"/>
      <c r="C6" s="12"/>
      <c r="D6" s="13"/>
      <c r="E6" s="11"/>
      <c r="F6" s="12"/>
      <c r="G6" s="12"/>
      <c r="H6" s="12"/>
      <c r="I6" s="11"/>
      <c r="J6" s="11"/>
      <c r="K6" s="1"/>
      <c r="L6" s="1"/>
    </row>
    <row r="7" spans="1:12" s="39" customFormat="1" ht="31.5" x14ac:dyDescent="0.25">
      <c r="A7" s="33"/>
      <c r="B7" s="35"/>
      <c r="C7" s="32" t="s">
        <v>55</v>
      </c>
      <c r="D7" s="36" t="s">
        <v>43</v>
      </c>
      <c r="E7" s="35"/>
      <c r="F7" s="37" t="s">
        <v>53</v>
      </c>
      <c r="G7" s="37"/>
      <c r="H7" s="38"/>
      <c r="I7" s="35"/>
      <c r="J7" s="35"/>
      <c r="K7" s="33"/>
      <c r="L7" s="33"/>
    </row>
    <row r="8" spans="1:12" s="39" customFormat="1" ht="75" x14ac:dyDescent="0.25">
      <c r="A8" s="33"/>
      <c r="B8" s="40"/>
      <c r="C8" s="34" t="s">
        <v>56</v>
      </c>
      <c r="D8" s="41" t="s">
        <v>45</v>
      </c>
      <c r="E8" s="40"/>
      <c r="F8" s="42" t="s">
        <v>54</v>
      </c>
      <c r="G8" s="42"/>
      <c r="H8" s="43"/>
      <c r="I8" s="40"/>
      <c r="J8" s="40"/>
      <c r="K8" s="33"/>
      <c r="L8" s="33"/>
    </row>
    <row r="9" spans="1:12" s="39" customFormat="1" ht="90" x14ac:dyDescent="0.25">
      <c r="A9" s="33"/>
      <c r="B9" s="40"/>
      <c r="C9" s="34" t="s">
        <v>57</v>
      </c>
      <c r="D9" s="41" t="s">
        <v>46</v>
      </c>
      <c r="E9" s="40"/>
      <c r="F9" s="44" t="s">
        <v>52</v>
      </c>
      <c r="G9" s="42"/>
      <c r="H9" s="45"/>
      <c r="I9" s="40"/>
      <c r="J9" s="40"/>
      <c r="K9" s="33"/>
      <c r="L9" s="33"/>
    </row>
    <row r="10" spans="1:12" s="39" customFormat="1" ht="31.5" x14ac:dyDescent="0.25">
      <c r="A10" s="33"/>
      <c r="B10" s="40"/>
      <c r="C10" s="34" t="s">
        <v>58</v>
      </c>
      <c r="D10" s="41" t="s">
        <v>39</v>
      </c>
      <c r="E10" s="40"/>
      <c r="F10" s="42" t="s">
        <v>59</v>
      </c>
      <c r="G10" s="42"/>
      <c r="H10" s="43"/>
      <c r="I10" s="40"/>
      <c r="J10" s="40"/>
      <c r="K10" s="33"/>
      <c r="L10" s="33"/>
    </row>
    <row r="11" spans="1:12" s="16" customFormat="1" ht="15.75" x14ac:dyDescent="0.25">
      <c r="A11" s="14"/>
      <c r="B11" s="17"/>
      <c r="C11" s="23"/>
      <c r="D11" s="18"/>
      <c r="E11" s="17"/>
      <c r="F11" s="19"/>
      <c r="G11" s="19"/>
      <c r="H11" s="17"/>
      <c r="I11" s="17"/>
      <c r="J11" s="17"/>
      <c r="K11" s="1"/>
      <c r="L11" s="14"/>
    </row>
    <row r="12" spans="1:12" s="16" customFormat="1" ht="15" x14ac:dyDescent="0.25">
      <c r="A12" s="14"/>
      <c r="B12" s="17"/>
      <c r="C12" s="15"/>
      <c r="D12" s="20"/>
      <c r="E12" s="17"/>
      <c r="F12" s="17"/>
      <c r="G12" s="17"/>
      <c r="H12" s="17"/>
      <c r="I12" s="17"/>
      <c r="J12" s="17"/>
      <c r="K12" s="1"/>
      <c r="L12" s="14"/>
    </row>
    <row r="13" spans="1:12" s="16" customFormat="1" ht="15" x14ac:dyDescent="0.25">
      <c r="A13" s="14"/>
      <c r="B13" s="17"/>
      <c r="C13" s="17"/>
      <c r="D13" s="20"/>
      <c r="E13" s="17"/>
      <c r="F13" s="17"/>
      <c r="G13" s="17"/>
      <c r="H13" s="17"/>
      <c r="I13" s="17"/>
      <c r="J13" s="17"/>
      <c r="K13" s="1"/>
      <c r="L13" s="14"/>
    </row>
    <row r="14" spans="1:12" s="16" customFormat="1" ht="15" x14ac:dyDescent="0.25">
      <c r="A14" s="14"/>
      <c r="B14" s="17"/>
      <c r="C14" s="17"/>
      <c r="D14" s="20"/>
      <c r="E14" s="17"/>
      <c r="F14" s="17"/>
      <c r="G14" s="17"/>
      <c r="H14" s="17"/>
      <c r="I14" s="17"/>
      <c r="J14" s="17"/>
      <c r="K14" s="1"/>
      <c r="L14" s="14"/>
    </row>
    <row r="15" spans="1:12" s="16" customFormat="1" ht="15" x14ac:dyDescent="0.25">
      <c r="A15" s="14"/>
      <c r="B15" s="14"/>
      <c r="C15" s="14"/>
      <c r="D15" s="21"/>
      <c r="E15" s="14"/>
      <c r="F15" s="14"/>
      <c r="G15" s="14"/>
      <c r="H15" s="14"/>
      <c r="I15" s="14"/>
      <c r="J15" s="14"/>
      <c r="K15" s="1"/>
      <c r="L15" s="14"/>
    </row>
    <row r="16" spans="1:12" ht="15" x14ac:dyDescent="0.25">
      <c r="A16" s="14"/>
      <c r="B16" s="14"/>
      <c r="C16" s="14"/>
      <c r="D16" s="21"/>
      <c r="E16" s="14"/>
      <c r="F16" s="14"/>
      <c r="G16" s="14"/>
      <c r="H16" s="14"/>
      <c r="I16" s="14"/>
      <c r="J16" s="14"/>
      <c r="K16" s="14"/>
      <c r="L16" s="14"/>
    </row>
    <row r="17" ht="15" hidden="1" x14ac:dyDescent="0.25"/>
    <row r="18" ht="15" hidden="1" x14ac:dyDescent="0.25"/>
    <row r="19" ht="15" hidden="1" x14ac:dyDescent="0.25"/>
    <row r="20" ht="15" hidden="1" x14ac:dyDescent="0.25"/>
    <row r="21" ht="15" hidden="1" x14ac:dyDescent="0.25"/>
  </sheetData>
  <hyperlinks>
    <hyperlink ref="C7" location="'Formulas'!A1" display="Formulas" xr:uid="{00000000-0004-0000-0000-000000000000}"/>
    <hyperlink ref="C8" location="'Tables'!A1" display="Tables" xr:uid="{00000000-0004-0000-0000-000001000000}"/>
    <hyperlink ref="C9" location="'PivotTables'!A1" display="PivotTables" xr:uid="{00000000-0004-0000-0000-000002000000}"/>
    <hyperlink ref="C10" location="'Activity'!A1" display="Activity" xr:uid="{00000000-0004-0000-0000-000003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O97"/>
  <sheetViews>
    <sheetView workbookViewId="0"/>
  </sheetViews>
  <sheetFormatPr defaultColWidth="9" defaultRowHeight="15" x14ac:dyDescent="0.25"/>
  <cols>
    <col min="1" max="5" width="11.28515625" customWidth="1"/>
    <col min="6" max="6" width="10.5703125" customWidth="1"/>
  </cols>
  <sheetData>
    <row r="1" spans="1:15" ht="18.75" x14ac:dyDescent="0.3">
      <c r="A1" s="4" t="s">
        <v>43</v>
      </c>
      <c r="B1" s="4"/>
      <c r="C1" s="4"/>
      <c r="D1" s="4"/>
      <c r="E1" s="4"/>
      <c r="F1" s="5"/>
      <c r="G1" s="5"/>
      <c r="H1" s="5"/>
      <c r="I1" s="5"/>
    </row>
    <row r="2" spans="1:15" ht="4.5" customHeight="1" x14ac:dyDescent="0.25"/>
    <row r="3" spans="1:15" x14ac:dyDescent="0.25">
      <c r="A3" t="s">
        <v>44</v>
      </c>
    </row>
    <row r="4" spans="1:15" x14ac:dyDescent="0.25">
      <c r="A4" t="s">
        <v>60</v>
      </c>
    </row>
    <row r="5" spans="1:15" x14ac:dyDescent="0.25">
      <c r="A5" s="31" t="s">
        <v>62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</row>
    <row r="6" spans="1:15" x14ac:dyDescent="0.25">
      <c r="A6" s="31" t="s">
        <v>63</v>
      </c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</row>
    <row r="7" spans="1:15" ht="4.3499999999999996" customHeight="1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</row>
    <row r="8" spans="1:15" ht="25.5" x14ac:dyDescent="0.25">
      <c r="A8" s="24" t="s">
        <v>3</v>
      </c>
      <c r="B8" s="24" t="s">
        <v>4</v>
      </c>
      <c r="C8" s="24" t="s">
        <v>5</v>
      </c>
      <c r="D8" s="24" t="s">
        <v>6</v>
      </c>
      <c r="E8" s="24" t="s">
        <v>7</v>
      </c>
    </row>
    <row r="9" spans="1:15" x14ac:dyDescent="0.25">
      <c r="A9" s="47" t="s">
        <v>8</v>
      </c>
      <c r="B9" s="48">
        <v>84030</v>
      </c>
      <c r="C9" s="48">
        <v>8050</v>
      </c>
      <c r="D9" s="48">
        <v>120</v>
      </c>
      <c r="E9" s="48">
        <v>130</v>
      </c>
      <c r="F9">
        <f>IF(VALUE(LEFT(B9,1))=8,E9-50,"")</f>
        <v>80</v>
      </c>
      <c r="G9" s="30"/>
    </row>
    <row r="10" spans="1:15" x14ac:dyDescent="0.25">
      <c r="A10" s="25" t="s">
        <v>8</v>
      </c>
      <c r="B10">
        <v>84030</v>
      </c>
      <c r="C10">
        <v>8050</v>
      </c>
      <c r="D10">
        <v>104</v>
      </c>
      <c r="E10">
        <v>530</v>
      </c>
      <c r="F10">
        <f t="shared" ref="F10:F73" si="0">IF(VALUE(LEFT(B10,1))=8,E10-50,"")</f>
        <v>480</v>
      </c>
    </row>
    <row r="11" spans="1:15" x14ac:dyDescent="0.25">
      <c r="A11" s="47" t="s">
        <v>8</v>
      </c>
      <c r="B11" s="48">
        <v>84030</v>
      </c>
      <c r="C11" s="48">
        <v>8050</v>
      </c>
      <c r="D11" s="48">
        <v>105</v>
      </c>
      <c r="E11" s="48">
        <v>130</v>
      </c>
      <c r="F11">
        <f t="shared" si="0"/>
        <v>80</v>
      </c>
    </row>
    <row r="12" spans="1:15" x14ac:dyDescent="0.25">
      <c r="A12" s="25" t="s">
        <v>8</v>
      </c>
      <c r="B12">
        <v>84030</v>
      </c>
      <c r="C12">
        <v>8050</v>
      </c>
      <c r="D12">
        <v>107</v>
      </c>
      <c r="E12">
        <v>740</v>
      </c>
      <c r="F12">
        <f t="shared" si="0"/>
        <v>690</v>
      </c>
    </row>
    <row r="13" spans="1:15" x14ac:dyDescent="0.25">
      <c r="A13" s="25" t="s">
        <v>8</v>
      </c>
      <c r="B13">
        <v>84031</v>
      </c>
      <c r="C13">
        <v>8040</v>
      </c>
      <c r="D13">
        <v>104</v>
      </c>
      <c r="E13">
        <v>920</v>
      </c>
      <c r="F13">
        <f t="shared" si="0"/>
        <v>870</v>
      </c>
    </row>
    <row r="14" spans="1:15" x14ac:dyDescent="0.25">
      <c r="A14" s="25" t="s">
        <v>8</v>
      </c>
      <c r="B14">
        <v>84031</v>
      </c>
      <c r="C14">
        <v>8040</v>
      </c>
      <c r="D14">
        <v>107</v>
      </c>
      <c r="E14">
        <v>810</v>
      </c>
      <c r="F14">
        <f t="shared" si="0"/>
        <v>760</v>
      </c>
    </row>
    <row r="15" spans="1:15" x14ac:dyDescent="0.25">
      <c r="A15" s="25" t="s">
        <v>8</v>
      </c>
      <c r="B15">
        <v>84031</v>
      </c>
      <c r="C15">
        <v>8040</v>
      </c>
      <c r="D15">
        <v>110</v>
      </c>
      <c r="E15">
        <v>550</v>
      </c>
      <c r="F15">
        <f t="shared" si="0"/>
        <v>500</v>
      </c>
    </row>
    <row r="16" spans="1:15" x14ac:dyDescent="0.25">
      <c r="A16" s="25" t="s">
        <v>8</v>
      </c>
      <c r="B16">
        <v>88112</v>
      </c>
      <c r="C16">
        <v>8040</v>
      </c>
      <c r="D16">
        <v>110</v>
      </c>
      <c r="E16">
        <v>530</v>
      </c>
      <c r="F16">
        <f t="shared" si="0"/>
        <v>480</v>
      </c>
    </row>
    <row r="17" spans="1:6" x14ac:dyDescent="0.25">
      <c r="A17" s="25" t="s">
        <v>8</v>
      </c>
      <c r="B17">
        <v>88112</v>
      </c>
      <c r="C17">
        <v>8040</v>
      </c>
      <c r="D17">
        <v>119</v>
      </c>
      <c r="E17">
        <v>690</v>
      </c>
      <c r="F17">
        <f t="shared" si="0"/>
        <v>640</v>
      </c>
    </row>
    <row r="18" spans="1:6" x14ac:dyDescent="0.25">
      <c r="A18" s="47" t="s">
        <v>8</v>
      </c>
      <c r="B18" s="48">
        <v>88112</v>
      </c>
      <c r="C18" s="48">
        <v>8040</v>
      </c>
      <c r="D18" s="48">
        <v>120</v>
      </c>
      <c r="E18" s="48">
        <v>150</v>
      </c>
      <c r="F18">
        <f t="shared" si="0"/>
        <v>100</v>
      </c>
    </row>
    <row r="19" spans="1:6" x14ac:dyDescent="0.25">
      <c r="A19" s="25" t="s">
        <v>8</v>
      </c>
      <c r="B19">
        <v>88112</v>
      </c>
      <c r="C19">
        <v>8040</v>
      </c>
      <c r="D19">
        <v>116</v>
      </c>
      <c r="E19">
        <v>810</v>
      </c>
      <c r="F19">
        <f t="shared" si="0"/>
        <v>760</v>
      </c>
    </row>
    <row r="20" spans="1:6" x14ac:dyDescent="0.25">
      <c r="A20" s="25" t="s">
        <v>8</v>
      </c>
      <c r="B20">
        <v>88112</v>
      </c>
      <c r="C20">
        <v>8040</v>
      </c>
      <c r="D20">
        <v>111</v>
      </c>
      <c r="E20">
        <v>640</v>
      </c>
      <c r="F20">
        <f t="shared" si="0"/>
        <v>590</v>
      </c>
    </row>
    <row r="21" spans="1:6" x14ac:dyDescent="0.25">
      <c r="A21" s="25" t="s">
        <v>9</v>
      </c>
      <c r="B21">
        <v>88112</v>
      </c>
      <c r="C21">
        <v>8040</v>
      </c>
      <c r="D21">
        <v>110</v>
      </c>
      <c r="E21">
        <v>570</v>
      </c>
      <c r="F21">
        <f t="shared" si="0"/>
        <v>520</v>
      </c>
    </row>
    <row r="22" spans="1:6" x14ac:dyDescent="0.25">
      <c r="A22" s="25" t="s">
        <v>9</v>
      </c>
      <c r="B22">
        <v>88112</v>
      </c>
      <c r="C22">
        <v>8040</v>
      </c>
      <c r="D22">
        <v>109</v>
      </c>
      <c r="E22">
        <v>260</v>
      </c>
      <c r="F22">
        <f t="shared" si="0"/>
        <v>210</v>
      </c>
    </row>
    <row r="23" spans="1:6" x14ac:dyDescent="0.25">
      <c r="A23" s="25" t="s">
        <v>9</v>
      </c>
      <c r="B23">
        <v>85442</v>
      </c>
      <c r="C23">
        <v>8050</v>
      </c>
      <c r="D23">
        <v>107</v>
      </c>
      <c r="E23">
        <v>270</v>
      </c>
      <c r="F23">
        <f t="shared" si="0"/>
        <v>220</v>
      </c>
    </row>
    <row r="24" spans="1:6" x14ac:dyDescent="0.25">
      <c r="A24" s="25" t="s">
        <v>9</v>
      </c>
      <c r="B24">
        <v>85442</v>
      </c>
      <c r="C24">
        <v>8050</v>
      </c>
      <c r="D24">
        <v>103</v>
      </c>
      <c r="E24">
        <v>670</v>
      </c>
      <c r="F24">
        <f t="shared" si="0"/>
        <v>620</v>
      </c>
    </row>
    <row r="25" spans="1:6" x14ac:dyDescent="0.25">
      <c r="A25" s="25" t="s">
        <v>9</v>
      </c>
      <c r="B25">
        <v>85442</v>
      </c>
      <c r="C25">
        <v>8050</v>
      </c>
      <c r="D25">
        <v>104</v>
      </c>
      <c r="E25">
        <v>470</v>
      </c>
      <c r="F25">
        <f t="shared" si="0"/>
        <v>420</v>
      </c>
    </row>
    <row r="26" spans="1:6" x14ac:dyDescent="0.25">
      <c r="A26" s="25" t="s">
        <v>9</v>
      </c>
      <c r="B26">
        <v>85442</v>
      </c>
      <c r="C26">
        <v>8050</v>
      </c>
      <c r="D26">
        <v>120</v>
      </c>
      <c r="E26">
        <v>530</v>
      </c>
      <c r="F26">
        <f t="shared" si="0"/>
        <v>480</v>
      </c>
    </row>
    <row r="27" spans="1:6" x14ac:dyDescent="0.25">
      <c r="A27" s="25" t="s">
        <v>9</v>
      </c>
      <c r="B27">
        <v>85442</v>
      </c>
      <c r="C27">
        <v>8050</v>
      </c>
      <c r="D27">
        <v>119</v>
      </c>
      <c r="E27">
        <v>360</v>
      </c>
      <c r="F27">
        <f t="shared" si="0"/>
        <v>310</v>
      </c>
    </row>
    <row r="28" spans="1:6" x14ac:dyDescent="0.25">
      <c r="A28" s="25" t="s">
        <v>9</v>
      </c>
      <c r="B28">
        <v>85442</v>
      </c>
      <c r="C28">
        <v>8050</v>
      </c>
      <c r="D28">
        <v>115</v>
      </c>
      <c r="E28">
        <v>840</v>
      </c>
      <c r="F28">
        <f t="shared" si="0"/>
        <v>790</v>
      </c>
    </row>
    <row r="29" spans="1:6" x14ac:dyDescent="0.25">
      <c r="A29" s="25" t="s">
        <v>9</v>
      </c>
      <c r="B29">
        <v>85442</v>
      </c>
      <c r="C29">
        <v>8050</v>
      </c>
      <c r="D29">
        <v>108</v>
      </c>
      <c r="E29">
        <v>830</v>
      </c>
      <c r="F29">
        <f t="shared" si="0"/>
        <v>780</v>
      </c>
    </row>
    <row r="30" spans="1:6" x14ac:dyDescent="0.25">
      <c r="A30" s="25" t="s">
        <v>9</v>
      </c>
      <c r="B30">
        <v>88588</v>
      </c>
      <c r="C30">
        <v>8040</v>
      </c>
      <c r="D30">
        <v>120</v>
      </c>
      <c r="E30">
        <v>500</v>
      </c>
      <c r="F30">
        <f t="shared" si="0"/>
        <v>450</v>
      </c>
    </row>
    <row r="31" spans="1:6" x14ac:dyDescent="0.25">
      <c r="A31" s="25" t="s">
        <v>9</v>
      </c>
      <c r="B31">
        <v>88588</v>
      </c>
      <c r="C31">
        <v>8040</v>
      </c>
      <c r="D31">
        <v>119</v>
      </c>
      <c r="E31">
        <v>890</v>
      </c>
      <c r="F31">
        <f t="shared" si="0"/>
        <v>840</v>
      </c>
    </row>
    <row r="32" spans="1:6" x14ac:dyDescent="0.25">
      <c r="A32" s="25" t="s">
        <v>10</v>
      </c>
      <c r="B32">
        <v>88588</v>
      </c>
      <c r="C32">
        <v>8040</v>
      </c>
      <c r="D32">
        <v>110</v>
      </c>
      <c r="E32">
        <v>180</v>
      </c>
      <c r="F32">
        <f t="shared" si="0"/>
        <v>130</v>
      </c>
    </row>
    <row r="33" spans="1:6" x14ac:dyDescent="0.25">
      <c r="A33" s="25" t="s">
        <v>10</v>
      </c>
      <c r="B33">
        <v>88588</v>
      </c>
      <c r="C33">
        <v>8040</v>
      </c>
      <c r="D33">
        <v>111</v>
      </c>
      <c r="E33">
        <v>780</v>
      </c>
      <c r="F33">
        <f t="shared" si="0"/>
        <v>730</v>
      </c>
    </row>
    <row r="34" spans="1:6" x14ac:dyDescent="0.25">
      <c r="A34" s="25" t="s">
        <v>10</v>
      </c>
      <c r="B34">
        <v>88588</v>
      </c>
      <c r="C34">
        <v>8040</v>
      </c>
      <c r="D34">
        <v>109</v>
      </c>
      <c r="E34">
        <v>590</v>
      </c>
      <c r="F34">
        <f t="shared" si="0"/>
        <v>540</v>
      </c>
    </row>
    <row r="35" spans="1:6" x14ac:dyDescent="0.25">
      <c r="A35" s="47" t="s">
        <v>10</v>
      </c>
      <c r="B35" s="48">
        <v>88588</v>
      </c>
      <c r="C35" s="48">
        <v>8040</v>
      </c>
      <c r="D35" s="48">
        <v>105</v>
      </c>
      <c r="E35" s="48">
        <v>130</v>
      </c>
      <c r="F35">
        <f t="shared" si="0"/>
        <v>80</v>
      </c>
    </row>
    <row r="36" spans="1:6" x14ac:dyDescent="0.25">
      <c r="A36" s="47" t="s">
        <v>10</v>
      </c>
      <c r="B36" s="48">
        <v>88588</v>
      </c>
      <c r="C36" s="48">
        <v>8040</v>
      </c>
      <c r="D36" s="48">
        <v>103</v>
      </c>
      <c r="E36" s="48">
        <v>110</v>
      </c>
      <c r="F36">
        <f t="shared" si="0"/>
        <v>60</v>
      </c>
    </row>
    <row r="37" spans="1:6" x14ac:dyDescent="0.25">
      <c r="A37" s="25" t="s">
        <v>10</v>
      </c>
      <c r="B37">
        <v>88544</v>
      </c>
      <c r="C37">
        <v>8040</v>
      </c>
      <c r="D37">
        <v>107</v>
      </c>
      <c r="E37">
        <v>800</v>
      </c>
      <c r="F37">
        <f t="shared" si="0"/>
        <v>750</v>
      </c>
    </row>
    <row r="38" spans="1:6" x14ac:dyDescent="0.25">
      <c r="A38" s="25" t="s">
        <v>10</v>
      </c>
      <c r="B38">
        <v>88544</v>
      </c>
      <c r="C38">
        <v>8040</v>
      </c>
      <c r="D38">
        <v>120</v>
      </c>
      <c r="E38">
        <v>300</v>
      </c>
      <c r="F38">
        <f t="shared" si="0"/>
        <v>250</v>
      </c>
    </row>
    <row r="39" spans="1:6" x14ac:dyDescent="0.25">
      <c r="A39" s="25" t="s">
        <v>10</v>
      </c>
      <c r="B39">
        <v>88666</v>
      </c>
      <c r="C39">
        <v>8030</v>
      </c>
      <c r="D39">
        <v>119</v>
      </c>
      <c r="E39">
        <v>330</v>
      </c>
      <c r="F39">
        <f t="shared" si="0"/>
        <v>280</v>
      </c>
    </row>
    <row r="40" spans="1:6" x14ac:dyDescent="0.25">
      <c r="A40" s="25" t="s">
        <v>10</v>
      </c>
      <c r="B40">
        <v>88666</v>
      </c>
      <c r="C40">
        <v>8030</v>
      </c>
      <c r="D40">
        <v>107</v>
      </c>
      <c r="E40">
        <v>490</v>
      </c>
      <c r="F40">
        <f t="shared" si="0"/>
        <v>440</v>
      </c>
    </row>
    <row r="41" spans="1:6" x14ac:dyDescent="0.25">
      <c r="A41" s="25" t="s">
        <v>10</v>
      </c>
      <c r="B41">
        <v>88666</v>
      </c>
      <c r="C41">
        <v>8030</v>
      </c>
      <c r="D41">
        <v>105</v>
      </c>
      <c r="E41">
        <v>500</v>
      </c>
      <c r="F41">
        <f t="shared" si="0"/>
        <v>450</v>
      </c>
    </row>
    <row r="42" spans="1:6" x14ac:dyDescent="0.25">
      <c r="A42" s="25" t="s">
        <v>11</v>
      </c>
      <c r="B42">
        <v>88666</v>
      </c>
      <c r="C42">
        <v>8030</v>
      </c>
      <c r="D42">
        <v>115</v>
      </c>
      <c r="E42">
        <v>390</v>
      </c>
      <c r="F42">
        <f t="shared" si="0"/>
        <v>340</v>
      </c>
    </row>
    <row r="43" spans="1:6" x14ac:dyDescent="0.25">
      <c r="A43" s="25" t="s">
        <v>11</v>
      </c>
      <c r="B43">
        <v>88666</v>
      </c>
      <c r="C43">
        <v>8030</v>
      </c>
      <c r="D43">
        <v>116</v>
      </c>
      <c r="E43">
        <v>260</v>
      </c>
      <c r="F43">
        <f t="shared" si="0"/>
        <v>210</v>
      </c>
    </row>
    <row r="44" spans="1:6" x14ac:dyDescent="0.25">
      <c r="A44" s="25" t="s">
        <v>12</v>
      </c>
      <c r="B44">
        <v>44030</v>
      </c>
      <c r="C44">
        <v>8060</v>
      </c>
      <c r="D44">
        <v>108</v>
      </c>
      <c r="E44">
        <v>60</v>
      </c>
      <c r="F44" t="str">
        <f t="shared" si="0"/>
        <v/>
      </c>
    </row>
    <row r="45" spans="1:6" x14ac:dyDescent="0.25">
      <c r="A45" s="25" t="s">
        <v>12</v>
      </c>
      <c r="B45">
        <v>44030</v>
      </c>
      <c r="C45">
        <v>8060</v>
      </c>
      <c r="D45">
        <v>109</v>
      </c>
      <c r="E45">
        <v>60</v>
      </c>
      <c r="F45" t="str">
        <f t="shared" si="0"/>
        <v/>
      </c>
    </row>
    <row r="46" spans="1:6" x14ac:dyDescent="0.25">
      <c r="A46" s="25" t="s">
        <v>12</v>
      </c>
      <c r="B46">
        <v>44032</v>
      </c>
      <c r="C46">
        <v>8060</v>
      </c>
      <c r="D46">
        <v>108</v>
      </c>
      <c r="E46">
        <v>60</v>
      </c>
      <c r="F46" t="str">
        <f t="shared" si="0"/>
        <v/>
      </c>
    </row>
    <row r="47" spans="1:6" x14ac:dyDescent="0.25">
      <c r="A47" s="25" t="s">
        <v>12</v>
      </c>
      <c r="B47">
        <v>44032</v>
      </c>
      <c r="C47">
        <v>8060</v>
      </c>
      <c r="D47">
        <v>109</v>
      </c>
      <c r="E47">
        <v>70</v>
      </c>
      <c r="F47" t="str">
        <f t="shared" si="0"/>
        <v/>
      </c>
    </row>
    <row r="48" spans="1:6" x14ac:dyDescent="0.25">
      <c r="A48" s="25" t="s">
        <v>12</v>
      </c>
      <c r="B48">
        <v>44031</v>
      </c>
      <c r="C48">
        <v>8050</v>
      </c>
      <c r="D48">
        <v>108</v>
      </c>
      <c r="E48">
        <v>60</v>
      </c>
      <c r="F48" t="str">
        <f t="shared" si="0"/>
        <v/>
      </c>
    </row>
    <row r="49" spans="1:6" x14ac:dyDescent="0.25">
      <c r="A49" s="25" t="s">
        <v>12</v>
      </c>
      <c r="B49">
        <v>44031</v>
      </c>
      <c r="C49">
        <v>8050</v>
      </c>
      <c r="D49">
        <v>109</v>
      </c>
      <c r="E49">
        <v>50</v>
      </c>
      <c r="F49" t="str">
        <f t="shared" si="0"/>
        <v/>
      </c>
    </row>
    <row r="50" spans="1:6" x14ac:dyDescent="0.25">
      <c r="A50" s="25" t="s">
        <v>12</v>
      </c>
      <c r="B50">
        <v>44031</v>
      </c>
      <c r="C50">
        <v>8050</v>
      </c>
      <c r="D50">
        <v>110</v>
      </c>
      <c r="E50">
        <v>60</v>
      </c>
      <c r="F50" t="str">
        <f t="shared" si="0"/>
        <v/>
      </c>
    </row>
    <row r="51" spans="1:6" x14ac:dyDescent="0.25">
      <c r="A51" s="25" t="s">
        <v>12</v>
      </c>
      <c r="B51">
        <v>48112</v>
      </c>
      <c r="C51">
        <v>8060</v>
      </c>
      <c r="D51">
        <v>109</v>
      </c>
      <c r="E51">
        <v>60</v>
      </c>
      <c r="F51" t="str">
        <f t="shared" si="0"/>
        <v/>
      </c>
    </row>
    <row r="52" spans="1:6" x14ac:dyDescent="0.25">
      <c r="A52" s="25" t="s">
        <v>12</v>
      </c>
      <c r="B52">
        <v>48112</v>
      </c>
      <c r="C52">
        <v>8060</v>
      </c>
      <c r="D52">
        <v>110</v>
      </c>
      <c r="E52">
        <v>50</v>
      </c>
      <c r="F52" t="str">
        <f t="shared" si="0"/>
        <v/>
      </c>
    </row>
    <row r="53" spans="1:6" x14ac:dyDescent="0.25">
      <c r="A53" s="25" t="s">
        <v>12</v>
      </c>
      <c r="B53">
        <v>48114</v>
      </c>
      <c r="C53">
        <v>8050</v>
      </c>
      <c r="D53">
        <v>109</v>
      </c>
      <c r="E53">
        <v>60</v>
      </c>
      <c r="F53" t="str">
        <f t="shared" si="0"/>
        <v/>
      </c>
    </row>
    <row r="54" spans="1:6" x14ac:dyDescent="0.25">
      <c r="A54" s="25" t="s">
        <v>12</v>
      </c>
      <c r="B54">
        <v>48114</v>
      </c>
      <c r="C54">
        <v>8050</v>
      </c>
      <c r="D54">
        <v>110</v>
      </c>
      <c r="E54">
        <v>60</v>
      </c>
      <c r="F54" t="str">
        <f t="shared" si="0"/>
        <v/>
      </c>
    </row>
    <row r="55" spans="1:6" x14ac:dyDescent="0.25">
      <c r="A55" s="25" t="s">
        <v>12</v>
      </c>
      <c r="B55">
        <v>48114</v>
      </c>
      <c r="C55">
        <v>8050</v>
      </c>
      <c r="D55">
        <v>111</v>
      </c>
      <c r="E55">
        <v>80</v>
      </c>
      <c r="F55" t="str">
        <f t="shared" si="0"/>
        <v/>
      </c>
    </row>
    <row r="56" spans="1:6" x14ac:dyDescent="0.25">
      <c r="A56" s="25" t="s">
        <v>12</v>
      </c>
      <c r="B56">
        <v>48116</v>
      </c>
      <c r="C56">
        <v>8060</v>
      </c>
      <c r="D56">
        <v>109</v>
      </c>
      <c r="E56">
        <v>60</v>
      </c>
      <c r="F56" t="str">
        <f t="shared" si="0"/>
        <v/>
      </c>
    </row>
    <row r="57" spans="1:6" x14ac:dyDescent="0.25">
      <c r="A57" s="25" t="s">
        <v>12</v>
      </c>
      <c r="B57">
        <v>48116</v>
      </c>
      <c r="C57">
        <v>8060</v>
      </c>
      <c r="D57">
        <v>110</v>
      </c>
      <c r="E57">
        <v>60</v>
      </c>
      <c r="F57" t="str">
        <f t="shared" si="0"/>
        <v/>
      </c>
    </row>
    <row r="58" spans="1:6" x14ac:dyDescent="0.25">
      <c r="A58" s="25" t="s">
        <v>12</v>
      </c>
      <c r="B58">
        <v>45442</v>
      </c>
      <c r="C58">
        <v>8050</v>
      </c>
      <c r="D58">
        <v>108</v>
      </c>
      <c r="E58">
        <v>50</v>
      </c>
      <c r="F58" t="str">
        <f t="shared" si="0"/>
        <v/>
      </c>
    </row>
    <row r="59" spans="1:6" x14ac:dyDescent="0.25">
      <c r="A59" s="25" t="s">
        <v>12</v>
      </c>
      <c r="B59">
        <v>45442</v>
      </c>
      <c r="C59">
        <v>8050</v>
      </c>
      <c r="D59">
        <v>109</v>
      </c>
      <c r="E59">
        <v>60</v>
      </c>
      <c r="F59" t="str">
        <f t="shared" si="0"/>
        <v/>
      </c>
    </row>
    <row r="60" spans="1:6" x14ac:dyDescent="0.25">
      <c r="A60" s="25" t="s">
        <v>12</v>
      </c>
      <c r="B60">
        <v>45444</v>
      </c>
      <c r="C60">
        <v>8060</v>
      </c>
      <c r="D60">
        <v>108</v>
      </c>
      <c r="E60">
        <v>60</v>
      </c>
      <c r="F60" t="str">
        <f t="shared" si="0"/>
        <v/>
      </c>
    </row>
    <row r="61" spans="1:6" x14ac:dyDescent="0.25">
      <c r="A61" s="25" t="s">
        <v>12</v>
      </c>
      <c r="B61">
        <v>45444</v>
      </c>
      <c r="C61">
        <v>8060</v>
      </c>
      <c r="D61">
        <v>109</v>
      </c>
      <c r="E61">
        <v>70</v>
      </c>
      <c r="F61" t="str">
        <f t="shared" si="0"/>
        <v/>
      </c>
    </row>
    <row r="62" spans="1:6" x14ac:dyDescent="0.25">
      <c r="A62" s="25" t="s">
        <v>12</v>
      </c>
      <c r="B62">
        <v>45444</v>
      </c>
      <c r="C62">
        <v>8060</v>
      </c>
      <c r="D62">
        <v>110</v>
      </c>
      <c r="E62">
        <v>60</v>
      </c>
      <c r="F62" t="str">
        <f t="shared" si="0"/>
        <v/>
      </c>
    </row>
    <row r="63" spans="1:6" x14ac:dyDescent="0.25">
      <c r="A63" s="25" t="s">
        <v>12</v>
      </c>
      <c r="B63">
        <v>45446</v>
      </c>
      <c r="C63">
        <v>8050</v>
      </c>
      <c r="D63">
        <v>111</v>
      </c>
      <c r="E63">
        <v>80</v>
      </c>
      <c r="F63" t="str">
        <f t="shared" si="0"/>
        <v/>
      </c>
    </row>
    <row r="64" spans="1:6" x14ac:dyDescent="0.25">
      <c r="A64" s="25" t="s">
        <v>12</v>
      </c>
      <c r="B64">
        <v>45446</v>
      </c>
      <c r="C64">
        <v>8050</v>
      </c>
      <c r="D64">
        <v>108</v>
      </c>
      <c r="E64">
        <v>50</v>
      </c>
      <c r="F64" t="str">
        <f t="shared" si="0"/>
        <v/>
      </c>
    </row>
    <row r="65" spans="1:6" x14ac:dyDescent="0.25">
      <c r="A65" s="25" t="s">
        <v>12</v>
      </c>
      <c r="B65">
        <v>44015</v>
      </c>
      <c r="C65">
        <v>8060</v>
      </c>
      <c r="D65">
        <v>108</v>
      </c>
      <c r="E65">
        <v>60</v>
      </c>
      <c r="F65" t="str">
        <f t="shared" si="0"/>
        <v/>
      </c>
    </row>
    <row r="66" spans="1:6" x14ac:dyDescent="0.25">
      <c r="A66" s="25" t="s">
        <v>12</v>
      </c>
      <c r="B66">
        <v>44015</v>
      </c>
      <c r="C66">
        <v>8060</v>
      </c>
      <c r="D66">
        <v>109</v>
      </c>
      <c r="E66">
        <v>70</v>
      </c>
      <c r="F66" t="str">
        <f t="shared" si="0"/>
        <v/>
      </c>
    </row>
    <row r="67" spans="1:6" x14ac:dyDescent="0.25">
      <c r="A67" s="25" t="s">
        <v>12</v>
      </c>
      <c r="B67">
        <v>44017</v>
      </c>
      <c r="C67">
        <v>8060</v>
      </c>
      <c r="D67">
        <v>108</v>
      </c>
      <c r="E67">
        <v>70</v>
      </c>
      <c r="F67" t="str">
        <f t="shared" si="0"/>
        <v/>
      </c>
    </row>
    <row r="68" spans="1:6" x14ac:dyDescent="0.25">
      <c r="A68" s="25" t="s">
        <v>12</v>
      </c>
      <c r="B68">
        <v>44017</v>
      </c>
      <c r="C68">
        <v>8060</v>
      </c>
      <c r="D68">
        <v>109</v>
      </c>
      <c r="E68">
        <v>70</v>
      </c>
      <c r="F68" t="str">
        <f t="shared" si="0"/>
        <v/>
      </c>
    </row>
    <row r="69" spans="1:6" x14ac:dyDescent="0.25">
      <c r="A69" s="25" t="s">
        <v>12</v>
      </c>
      <c r="B69">
        <v>44016</v>
      </c>
      <c r="C69">
        <v>8050</v>
      </c>
      <c r="D69">
        <v>108</v>
      </c>
      <c r="E69">
        <v>70</v>
      </c>
      <c r="F69" t="str">
        <f t="shared" si="0"/>
        <v/>
      </c>
    </row>
    <row r="70" spans="1:6" x14ac:dyDescent="0.25">
      <c r="A70" s="25" t="s">
        <v>12</v>
      </c>
      <c r="B70">
        <v>44016</v>
      </c>
      <c r="C70">
        <v>8050</v>
      </c>
      <c r="D70">
        <v>109</v>
      </c>
      <c r="E70">
        <v>60</v>
      </c>
      <c r="F70" t="str">
        <f t="shared" si="0"/>
        <v/>
      </c>
    </row>
    <row r="71" spans="1:6" x14ac:dyDescent="0.25">
      <c r="A71" s="25" t="s">
        <v>12</v>
      </c>
      <c r="B71">
        <v>44016</v>
      </c>
      <c r="C71">
        <v>8050</v>
      </c>
      <c r="D71">
        <v>110</v>
      </c>
      <c r="E71">
        <v>50</v>
      </c>
      <c r="F71" t="str">
        <f t="shared" si="0"/>
        <v/>
      </c>
    </row>
    <row r="72" spans="1:6" x14ac:dyDescent="0.25">
      <c r="A72" s="25" t="s">
        <v>12</v>
      </c>
      <c r="B72">
        <v>48097</v>
      </c>
      <c r="C72">
        <v>8060</v>
      </c>
      <c r="D72">
        <v>109</v>
      </c>
      <c r="E72">
        <v>60</v>
      </c>
      <c r="F72" t="str">
        <f t="shared" si="0"/>
        <v/>
      </c>
    </row>
    <row r="73" spans="1:6" x14ac:dyDescent="0.25">
      <c r="A73" s="25" t="s">
        <v>12</v>
      </c>
      <c r="B73">
        <v>48097</v>
      </c>
      <c r="C73">
        <v>8060</v>
      </c>
      <c r="D73">
        <v>110</v>
      </c>
      <c r="E73">
        <v>70</v>
      </c>
      <c r="F73" t="str">
        <f t="shared" si="0"/>
        <v/>
      </c>
    </row>
    <row r="74" spans="1:6" x14ac:dyDescent="0.25">
      <c r="A74" s="25" t="s">
        <v>12</v>
      </c>
      <c r="B74">
        <v>48099</v>
      </c>
      <c r="C74">
        <v>8050</v>
      </c>
      <c r="D74">
        <v>109</v>
      </c>
      <c r="E74">
        <v>60</v>
      </c>
      <c r="F74" t="str">
        <f t="shared" ref="F74:F97" si="1">IF(VALUE(LEFT(B74,1))=8,E74-50,"")</f>
        <v/>
      </c>
    </row>
    <row r="75" spans="1:6" x14ac:dyDescent="0.25">
      <c r="A75" s="25" t="s">
        <v>12</v>
      </c>
      <c r="B75">
        <v>48099</v>
      </c>
      <c r="C75">
        <v>8050</v>
      </c>
      <c r="D75">
        <v>110</v>
      </c>
      <c r="E75">
        <v>60</v>
      </c>
      <c r="F75" t="str">
        <f t="shared" si="1"/>
        <v/>
      </c>
    </row>
    <row r="76" spans="1:6" x14ac:dyDescent="0.25">
      <c r="A76" s="25" t="s">
        <v>12</v>
      </c>
      <c r="B76">
        <v>48099</v>
      </c>
      <c r="C76">
        <v>8050</v>
      </c>
      <c r="D76">
        <v>111</v>
      </c>
      <c r="E76">
        <v>60</v>
      </c>
      <c r="F76" t="str">
        <f t="shared" si="1"/>
        <v/>
      </c>
    </row>
    <row r="77" spans="1:6" x14ac:dyDescent="0.25">
      <c r="A77" s="25" t="s">
        <v>12</v>
      </c>
      <c r="B77">
        <v>48101</v>
      </c>
      <c r="C77">
        <v>8060</v>
      </c>
      <c r="D77">
        <v>109</v>
      </c>
      <c r="E77">
        <v>60</v>
      </c>
      <c r="F77" t="str">
        <f t="shared" si="1"/>
        <v/>
      </c>
    </row>
    <row r="78" spans="1:6" x14ac:dyDescent="0.25">
      <c r="A78" s="25" t="s">
        <v>12</v>
      </c>
      <c r="B78">
        <v>48101</v>
      </c>
      <c r="C78">
        <v>8060</v>
      </c>
      <c r="D78">
        <v>110</v>
      </c>
      <c r="E78">
        <v>50</v>
      </c>
      <c r="F78" t="str">
        <f t="shared" si="1"/>
        <v/>
      </c>
    </row>
    <row r="79" spans="1:6" x14ac:dyDescent="0.25">
      <c r="A79" s="25" t="s">
        <v>12</v>
      </c>
      <c r="B79">
        <v>45427</v>
      </c>
      <c r="C79">
        <v>8050</v>
      </c>
      <c r="D79">
        <v>108</v>
      </c>
      <c r="E79">
        <v>70</v>
      </c>
      <c r="F79" t="str">
        <f t="shared" si="1"/>
        <v/>
      </c>
    </row>
    <row r="80" spans="1:6" x14ac:dyDescent="0.25">
      <c r="A80" s="25" t="s">
        <v>12</v>
      </c>
      <c r="B80">
        <v>45427</v>
      </c>
      <c r="C80">
        <v>8050</v>
      </c>
      <c r="D80">
        <v>109</v>
      </c>
      <c r="E80">
        <v>60</v>
      </c>
      <c r="F80" t="str">
        <f t="shared" si="1"/>
        <v/>
      </c>
    </row>
    <row r="81" spans="1:6" x14ac:dyDescent="0.25">
      <c r="A81" s="25" t="s">
        <v>12</v>
      </c>
      <c r="B81">
        <v>45429</v>
      </c>
      <c r="C81">
        <v>8060</v>
      </c>
      <c r="D81">
        <v>108</v>
      </c>
      <c r="E81">
        <v>80</v>
      </c>
      <c r="F81" t="str">
        <f t="shared" si="1"/>
        <v/>
      </c>
    </row>
    <row r="82" spans="1:6" x14ac:dyDescent="0.25">
      <c r="A82" s="25" t="s">
        <v>12</v>
      </c>
      <c r="B82">
        <v>45429</v>
      </c>
      <c r="C82">
        <v>8060</v>
      </c>
      <c r="D82">
        <v>109</v>
      </c>
      <c r="E82">
        <v>80</v>
      </c>
      <c r="F82" t="str">
        <f t="shared" si="1"/>
        <v/>
      </c>
    </row>
    <row r="83" spans="1:6" x14ac:dyDescent="0.25">
      <c r="A83" s="25" t="s">
        <v>12</v>
      </c>
      <c r="B83">
        <v>45429</v>
      </c>
      <c r="C83">
        <v>8060</v>
      </c>
      <c r="D83">
        <v>110</v>
      </c>
      <c r="E83">
        <v>50</v>
      </c>
      <c r="F83" t="str">
        <f t="shared" si="1"/>
        <v/>
      </c>
    </row>
    <row r="84" spans="1:6" x14ac:dyDescent="0.25">
      <c r="A84" s="25" t="s">
        <v>12</v>
      </c>
      <c r="B84">
        <v>45431</v>
      </c>
      <c r="C84">
        <v>8050</v>
      </c>
      <c r="D84">
        <v>111</v>
      </c>
      <c r="E84">
        <v>60</v>
      </c>
      <c r="F84" t="str">
        <f t="shared" si="1"/>
        <v/>
      </c>
    </row>
    <row r="85" spans="1:6" x14ac:dyDescent="0.25">
      <c r="A85" s="25" t="s">
        <v>12</v>
      </c>
      <c r="B85">
        <v>45431</v>
      </c>
      <c r="C85">
        <v>8050</v>
      </c>
      <c r="D85">
        <v>108</v>
      </c>
      <c r="E85">
        <v>60</v>
      </c>
      <c r="F85" t="str">
        <f t="shared" si="1"/>
        <v/>
      </c>
    </row>
    <row r="86" spans="1:6" x14ac:dyDescent="0.25">
      <c r="A86" s="47" t="s">
        <v>8</v>
      </c>
      <c r="B86" s="48">
        <v>84030</v>
      </c>
      <c r="C86" s="48">
        <v>8050</v>
      </c>
      <c r="D86" s="48">
        <v>120</v>
      </c>
      <c r="E86" s="48">
        <v>130</v>
      </c>
      <c r="F86">
        <f t="shared" si="1"/>
        <v>80</v>
      </c>
    </row>
    <row r="87" spans="1:6" x14ac:dyDescent="0.25">
      <c r="A87" s="25" t="s">
        <v>8</v>
      </c>
      <c r="B87">
        <v>84030</v>
      </c>
      <c r="C87">
        <v>8050</v>
      </c>
      <c r="D87">
        <v>104</v>
      </c>
      <c r="E87">
        <v>530</v>
      </c>
      <c r="F87">
        <f t="shared" si="1"/>
        <v>480</v>
      </c>
    </row>
    <row r="88" spans="1:6" x14ac:dyDescent="0.25">
      <c r="A88" s="47" t="s">
        <v>8</v>
      </c>
      <c r="B88" s="48">
        <v>84030</v>
      </c>
      <c r="C88" s="48">
        <v>8050</v>
      </c>
      <c r="D88" s="48">
        <v>105</v>
      </c>
      <c r="E88" s="48">
        <v>130</v>
      </c>
      <c r="F88">
        <f t="shared" si="1"/>
        <v>80</v>
      </c>
    </row>
    <row r="89" spans="1:6" x14ac:dyDescent="0.25">
      <c r="A89" s="25" t="s">
        <v>8</v>
      </c>
      <c r="B89">
        <v>84030</v>
      </c>
      <c r="C89">
        <v>8050</v>
      </c>
      <c r="D89">
        <v>107</v>
      </c>
      <c r="E89">
        <v>740</v>
      </c>
      <c r="F89">
        <f t="shared" si="1"/>
        <v>690</v>
      </c>
    </row>
    <row r="90" spans="1:6" x14ac:dyDescent="0.25">
      <c r="A90" s="25" t="s">
        <v>8</v>
      </c>
      <c r="B90">
        <v>84031</v>
      </c>
      <c r="C90">
        <v>8040</v>
      </c>
      <c r="D90">
        <v>104</v>
      </c>
      <c r="E90">
        <v>920</v>
      </c>
      <c r="F90">
        <f t="shared" si="1"/>
        <v>870</v>
      </c>
    </row>
    <row r="91" spans="1:6" x14ac:dyDescent="0.25">
      <c r="A91" s="25" t="s">
        <v>8</v>
      </c>
      <c r="B91">
        <v>84031</v>
      </c>
      <c r="C91">
        <v>8040</v>
      </c>
      <c r="D91">
        <v>107</v>
      </c>
      <c r="E91">
        <v>810</v>
      </c>
      <c r="F91">
        <f t="shared" si="1"/>
        <v>760</v>
      </c>
    </row>
    <row r="92" spans="1:6" x14ac:dyDescent="0.25">
      <c r="A92" s="25" t="s">
        <v>8</v>
      </c>
      <c r="B92">
        <v>84031</v>
      </c>
      <c r="C92">
        <v>8040</v>
      </c>
      <c r="D92">
        <v>110</v>
      </c>
      <c r="E92">
        <v>550</v>
      </c>
      <c r="F92">
        <f t="shared" si="1"/>
        <v>500</v>
      </c>
    </row>
    <row r="93" spans="1:6" x14ac:dyDescent="0.25">
      <c r="A93" s="25" t="s">
        <v>8</v>
      </c>
      <c r="B93">
        <v>88112</v>
      </c>
      <c r="C93">
        <v>8040</v>
      </c>
      <c r="D93">
        <v>110</v>
      </c>
      <c r="E93">
        <v>530</v>
      </c>
      <c r="F93">
        <f t="shared" si="1"/>
        <v>480</v>
      </c>
    </row>
    <row r="94" spans="1:6" x14ac:dyDescent="0.25">
      <c r="A94" s="25" t="s">
        <v>8</v>
      </c>
      <c r="B94">
        <v>88112</v>
      </c>
      <c r="C94">
        <v>8040</v>
      </c>
      <c r="D94">
        <v>119</v>
      </c>
      <c r="E94">
        <v>690</v>
      </c>
      <c r="F94">
        <f t="shared" si="1"/>
        <v>640</v>
      </c>
    </row>
    <row r="95" spans="1:6" x14ac:dyDescent="0.25">
      <c r="A95" s="47" t="s">
        <v>8</v>
      </c>
      <c r="B95" s="48">
        <v>88112</v>
      </c>
      <c r="C95" s="48">
        <v>8040</v>
      </c>
      <c r="D95" s="48">
        <v>120</v>
      </c>
      <c r="E95" s="48">
        <v>150</v>
      </c>
      <c r="F95">
        <f t="shared" si="1"/>
        <v>100</v>
      </c>
    </row>
    <row r="96" spans="1:6" x14ac:dyDescent="0.25">
      <c r="A96" s="25" t="s">
        <v>8</v>
      </c>
      <c r="B96">
        <v>88112</v>
      </c>
      <c r="C96">
        <v>8040</v>
      </c>
      <c r="D96">
        <v>116</v>
      </c>
      <c r="E96">
        <v>810</v>
      </c>
      <c r="F96">
        <f t="shared" si="1"/>
        <v>760</v>
      </c>
    </row>
    <row r="97" spans="1:6" x14ac:dyDescent="0.25">
      <c r="A97" s="25" t="s">
        <v>8</v>
      </c>
      <c r="B97">
        <v>88112</v>
      </c>
      <c r="C97">
        <v>8040</v>
      </c>
      <c r="D97">
        <v>111</v>
      </c>
      <c r="E97">
        <v>640</v>
      </c>
      <c r="F97">
        <f t="shared" si="1"/>
        <v>590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able">
    <tabColor theme="2" tint="-0.499984740745262"/>
  </sheetPr>
  <dimension ref="A1:F80"/>
  <sheetViews>
    <sheetView workbookViewId="0"/>
  </sheetViews>
  <sheetFormatPr defaultRowHeight="15" x14ac:dyDescent="0.25"/>
  <cols>
    <col min="1" max="1" width="12.42578125" customWidth="1"/>
    <col min="2" max="2" width="15.5703125" customWidth="1"/>
    <col min="3" max="3" width="15" customWidth="1"/>
    <col min="4" max="4" width="12.42578125" customWidth="1"/>
    <col min="5" max="5" width="10" customWidth="1"/>
  </cols>
  <sheetData>
    <row r="1" spans="1:6" ht="18.75" x14ac:dyDescent="0.3">
      <c r="A1" s="4" t="s">
        <v>45</v>
      </c>
      <c r="B1" s="5"/>
      <c r="C1" s="5"/>
      <c r="D1" s="5"/>
      <c r="E1" s="5"/>
    </row>
    <row r="3" spans="1:6" x14ac:dyDescent="0.25">
      <c r="A3" s="24" t="s">
        <v>3</v>
      </c>
      <c r="B3" s="24" t="s">
        <v>4</v>
      </c>
      <c r="C3" s="24" t="s">
        <v>5</v>
      </c>
      <c r="D3" s="24" t="s">
        <v>6</v>
      </c>
      <c r="E3" s="24" t="s">
        <v>7</v>
      </c>
      <c r="F3" s="24" t="s">
        <v>65</v>
      </c>
    </row>
    <row r="4" spans="1:6" x14ac:dyDescent="0.25">
      <c r="A4" s="25" t="s">
        <v>8</v>
      </c>
      <c r="B4">
        <v>84030</v>
      </c>
      <c r="C4">
        <v>8050</v>
      </c>
      <c r="D4">
        <v>120</v>
      </c>
      <c r="E4">
        <v>130</v>
      </c>
      <c r="F4">
        <f t="shared" ref="F4:F35" si="0">IF(VALUE(LEFT(B4,1))=8,E4-50,"")</f>
        <v>80</v>
      </c>
    </row>
    <row r="5" spans="1:6" x14ac:dyDescent="0.25">
      <c r="A5" s="25" t="s">
        <v>8</v>
      </c>
      <c r="B5">
        <v>84030</v>
      </c>
      <c r="C5">
        <v>8050</v>
      </c>
      <c r="D5">
        <v>104</v>
      </c>
      <c r="E5">
        <v>530</v>
      </c>
      <c r="F5">
        <f t="shared" si="0"/>
        <v>480</v>
      </c>
    </row>
    <row r="6" spans="1:6" x14ac:dyDescent="0.25">
      <c r="A6" s="25" t="s">
        <v>8</v>
      </c>
      <c r="B6">
        <v>84030</v>
      </c>
      <c r="C6">
        <v>8050</v>
      </c>
      <c r="D6">
        <v>105</v>
      </c>
      <c r="E6">
        <v>130</v>
      </c>
      <c r="F6">
        <f t="shared" si="0"/>
        <v>80</v>
      </c>
    </row>
    <row r="7" spans="1:6" x14ac:dyDescent="0.25">
      <c r="A7" s="25" t="s">
        <v>8</v>
      </c>
      <c r="B7">
        <v>84030</v>
      </c>
      <c r="C7">
        <v>8050</v>
      </c>
      <c r="D7">
        <v>107</v>
      </c>
      <c r="E7">
        <v>740</v>
      </c>
      <c r="F7">
        <f t="shared" si="0"/>
        <v>690</v>
      </c>
    </row>
    <row r="8" spans="1:6" x14ac:dyDescent="0.25">
      <c r="A8" s="25" t="s">
        <v>8</v>
      </c>
      <c r="B8">
        <v>84031</v>
      </c>
      <c r="C8">
        <v>8040</v>
      </c>
      <c r="D8">
        <v>104</v>
      </c>
      <c r="E8">
        <v>920</v>
      </c>
      <c r="F8">
        <f t="shared" si="0"/>
        <v>870</v>
      </c>
    </row>
    <row r="9" spans="1:6" x14ac:dyDescent="0.25">
      <c r="A9" s="25" t="s">
        <v>8</v>
      </c>
      <c r="B9">
        <v>84031</v>
      </c>
      <c r="C9">
        <v>8040</v>
      </c>
      <c r="D9">
        <v>107</v>
      </c>
      <c r="E9">
        <v>810</v>
      </c>
      <c r="F9">
        <f t="shared" si="0"/>
        <v>760</v>
      </c>
    </row>
    <row r="10" spans="1:6" x14ac:dyDescent="0.25">
      <c r="A10" s="25" t="s">
        <v>8</v>
      </c>
      <c r="B10">
        <v>84031</v>
      </c>
      <c r="C10">
        <v>8040</v>
      </c>
      <c r="D10">
        <v>110</v>
      </c>
      <c r="E10">
        <v>550</v>
      </c>
      <c r="F10">
        <f t="shared" si="0"/>
        <v>500</v>
      </c>
    </row>
    <row r="11" spans="1:6" x14ac:dyDescent="0.25">
      <c r="A11" s="25" t="s">
        <v>8</v>
      </c>
      <c r="B11">
        <v>88112</v>
      </c>
      <c r="C11">
        <v>8040</v>
      </c>
      <c r="D11">
        <v>110</v>
      </c>
      <c r="E11">
        <v>530</v>
      </c>
      <c r="F11">
        <f t="shared" si="0"/>
        <v>480</v>
      </c>
    </row>
    <row r="12" spans="1:6" x14ac:dyDescent="0.25">
      <c r="A12" s="25" t="s">
        <v>8</v>
      </c>
      <c r="B12">
        <v>88112</v>
      </c>
      <c r="C12">
        <v>8040</v>
      </c>
      <c r="D12">
        <v>119</v>
      </c>
      <c r="E12">
        <v>690</v>
      </c>
      <c r="F12">
        <f t="shared" si="0"/>
        <v>640</v>
      </c>
    </row>
    <row r="13" spans="1:6" x14ac:dyDescent="0.25">
      <c r="A13" s="25" t="s">
        <v>8</v>
      </c>
      <c r="B13">
        <v>88112</v>
      </c>
      <c r="C13">
        <v>8040</v>
      </c>
      <c r="D13">
        <v>120</v>
      </c>
      <c r="E13">
        <v>150</v>
      </c>
      <c r="F13">
        <f t="shared" si="0"/>
        <v>100</v>
      </c>
    </row>
    <row r="14" spans="1:6" x14ac:dyDescent="0.25">
      <c r="A14" s="25" t="s">
        <v>8</v>
      </c>
      <c r="B14">
        <v>88112</v>
      </c>
      <c r="C14">
        <v>8040</v>
      </c>
      <c r="D14">
        <v>116</v>
      </c>
      <c r="E14">
        <v>810</v>
      </c>
      <c r="F14">
        <f t="shared" si="0"/>
        <v>760</v>
      </c>
    </row>
    <row r="15" spans="1:6" x14ac:dyDescent="0.25">
      <c r="A15" s="25" t="s">
        <v>8</v>
      </c>
      <c r="B15">
        <v>88112</v>
      </c>
      <c r="C15">
        <v>8040</v>
      </c>
      <c r="D15">
        <v>111</v>
      </c>
      <c r="E15">
        <v>640</v>
      </c>
      <c r="F15">
        <f t="shared" si="0"/>
        <v>590</v>
      </c>
    </row>
    <row r="16" spans="1:6" x14ac:dyDescent="0.25">
      <c r="A16" s="25" t="s">
        <v>9</v>
      </c>
      <c r="B16">
        <v>88112</v>
      </c>
      <c r="C16">
        <v>8040</v>
      </c>
      <c r="D16">
        <v>110</v>
      </c>
      <c r="E16">
        <v>570</v>
      </c>
      <c r="F16">
        <f t="shared" si="0"/>
        <v>520</v>
      </c>
    </row>
    <row r="17" spans="1:6" x14ac:dyDescent="0.25">
      <c r="A17" s="25" t="s">
        <v>9</v>
      </c>
      <c r="B17">
        <v>88112</v>
      </c>
      <c r="C17">
        <v>8040</v>
      </c>
      <c r="D17">
        <v>109</v>
      </c>
      <c r="E17">
        <v>260</v>
      </c>
      <c r="F17">
        <f t="shared" si="0"/>
        <v>210</v>
      </c>
    </row>
    <row r="18" spans="1:6" x14ac:dyDescent="0.25">
      <c r="A18" s="25" t="s">
        <v>9</v>
      </c>
      <c r="B18">
        <v>85442</v>
      </c>
      <c r="C18">
        <v>8050</v>
      </c>
      <c r="D18">
        <v>107</v>
      </c>
      <c r="E18">
        <v>270</v>
      </c>
      <c r="F18">
        <f t="shared" si="0"/>
        <v>220</v>
      </c>
    </row>
    <row r="19" spans="1:6" x14ac:dyDescent="0.25">
      <c r="A19" s="25" t="s">
        <v>9</v>
      </c>
      <c r="B19">
        <v>85442</v>
      </c>
      <c r="C19">
        <v>8050</v>
      </c>
      <c r="D19">
        <v>103</v>
      </c>
      <c r="E19">
        <v>670</v>
      </c>
      <c r="F19">
        <f t="shared" si="0"/>
        <v>620</v>
      </c>
    </row>
    <row r="20" spans="1:6" x14ac:dyDescent="0.25">
      <c r="A20" s="25" t="s">
        <v>9</v>
      </c>
      <c r="B20">
        <v>85442</v>
      </c>
      <c r="C20">
        <v>8050</v>
      </c>
      <c r="D20">
        <v>104</v>
      </c>
      <c r="E20">
        <v>470</v>
      </c>
      <c r="F20">
        <f t="shared" si="0"/>
        <v>420</v>
      </c>
    </row>
    <row r="21" spans="1:6" x14ac:dyDescent="0.25">
      <c r="A21" s="25" t="s">
        <v>9</v>
      </c>
      <c r="B21">
        <v>85442</v>
      </c>
      <c r="C21">
        <v>8050</v>
      </c>
      <c r="D21">
        <v>120</v>
      </c>
      <c r="E21">
        <v>530</v>
      </c>
      <c r="F21">
        <f t="shared" si="0"/>
        <v>480</v>
      </c>
    </row>
    <row r="22" spans="1:6" x14ac:dyDescent="0.25">
      <c r="A22" s="25" t="s">
        <v>9</v>
      </c>
      <c r="B22">
        <v>85442</v>
      </c>
      <c r="C22">
        <v>8050</v>
      </c>
      <c r="D22">
        <v>119</v>
      </c>
      <c r="E22">
        <v>360</v>
      </c>
      <c r="F22">
        <f t="shared" si="0"/>
        <v>310</v>
      </c>
    </row>
    <row r="23" spans="1:6" x14ac:dyDescent="0.25">
      <c r="A23" s="25" t="s">
        <v>9</v>
      </c>
      <c r="B23">
        <v>85442</v>
      </c>
      <c r="C23">
        <v>8050</v>
      </c>
      <c r="D23">
        <v>115</v>
      </c>
      <c r="E23">
        <v>840</v>
      </c>
      <c r="F23">
        <f t="shared" si="0"/>
        <v>790</v>
      </c>
    </row>
    <row r="24" spans="1:6" x14ac:dyDescent="0.25">
      <c r="A24" s="25" t="s">
        <v>9</v>
      </c>
      <c r="B24">
        <v>85442</v>
      </c>
      <c r="C24">
        <v>8050</v>
      </c>
      <c r="D24">
        <v>108</v>
      </c>
      <c r="E24">
        <v>830</v>
      </c>
      <c r="F24">
        <f t="shared" si="0"/>
        <v>780</v>
      </c>
    </row>
    <row r="25" spans="1:6" x14ac:dyDescent="0.25">
      <c r="A25" s="25" t="s">
        <v>9</v>
      </c>
      <c r="B25">
        <v>88588</v>
      </c>
      <c r="C25">
        <v>8040</v>
      </c>
      <c r="D25">
        <v>120</v>
      </c>
      <c r="E25">
        <v>500</v>
      </c>
      <c r="F25">
        <f t="shared" si="0"/>
        <v>450</v>
      </c>
    </row>
    <row r="26" spans="1:6" x14ac:dyDescent="0.25">
      <c r="A26" s="25" t="s">
        <v>9</v>
      </c>
      <c r="B26">
        <v>88588</v>
      </c>
      <c r="C26">
        <v>8040</v>
      </c>
      <c r="D26">
        <v>119</v>
      </c>
      <c r="E26">
        <v>890</v>
      </c>
      <c r="F26">
        <f t="shared" si="0"/>
        <v>840</v>
      </c>
    </row>
    <row r="27" spans="1:6" x14ac:dyDescent="0.25">
      <c r="A27" s="25" t="s">
        <v>10</v>
      </c>
      <c r="B27">
        <v>88588</v>
      </c>
      <c r="C27">
        <v>8040</v>
      </c>
      <c r="D27">
        <v>110</v>
      </c>
      <c r="E27">
        <v>180</v>
      </c>
      <c r="F27">
        <f t="shared" si="0"/>
        <v>130</v>
      </c>
    </row>
    <row r="28" spans="1:6" x14ac:dyDescent="0.25">
      <c r="A28" s="25" t="s">
        <v>10</v>
      </c>
      <c r="B28">
        <v>88588</v>
      </c>
      <c r="C28">
        <v>8040</v>
      </c>
      <c r="D28">
        <v>111</v>
      </c>
      <c r="E28">
        <v>780</v>
      </c>
      <c r="F28">
        <f t="shared" si="0"/>
        <v>730</v>
      </c>
    </row>
    <row r="29" spans="1:6" x14ac:dyDescent="0.25">
      <c r="A29" s="25" t="s">
        <v>10</v>
      </c>
      <c r="B29">
        <v>88588</v>
      </c>
      <c r="C29">
        <v>8040</v>
      </c>
      <c r="D29">
        <v>109</v>
      </c>
      <c r="E29">
        <v>590</v>
      </c>
      <c r="F29">
        <f t="shared" si="0"/>
        <v>540</v>
      </c>
    </row>
    <row r="30" spans="1:6" x14ac:dyDescent="0.25">
      <c r="A30" s="25" t="s">
        <v>10</v>
      </c>
      <c r="B30">
        <v>88588</v>
      </c>
      <c r="C30">
        <v>8040</v>
      </c>
      <c r="D30">
        <v>105</v>
      </c>
      <c r="E30">
        <v>130</v>
      </c>
      <c r="F30">
        <f t="shared" si="0"/>
        <v>80</v>
      </c>
    </row>
    <row r="31" spans="1:6" x14ac:dyDescent="0.25">
      <c r="A31" s="25" t="s">
        <v>10</v>
      </c>
      <c r="B31">
        <v>88588</v>
      </c>
      <c r="C31">
        <v>8040</v>
      </c>
      <c r="D31">
        <v>103</v>
      </c>
      <c r="E31">
        <v>110</v>
      </c>
      <c r="F31">
        <f t="shared" si="0"/>
        <v>60</v>
      </c>
    </row>
    <row r="32" spans="1:6" x14ac:dyDescent="0.25">
      <c r="A32" s="25" t="s">
        <v>10</v>
      </c>
      <c r="B32">
        <v>88544</v>
      </c>
      <c r="C32">
        <v>8040</v>
      </c>
      <c r="D32">
        <v>107</v>
      </c>
      <c r="E32">
        <v>800</v>
      </c>
      <c r="F32">
        <f t="shared" si="0"/>
        <v>750</v>
      </c>
    </row>
    <row r="33" spans="1:6" x14ac:dyDescent="0.25">
      <c r="A33" s="25" t="s">
        <v>10</v>
      </c>
      <c r="B33">
        <v>88544</v>
      </c>
      <c r="C33">
        <v>8040</v>
      </c>
      <c r="D33">
        <v>120</v>
      </c>
      <c r="E33">
        <v>300</v>
      </c>
      <c r="F33">
        <f t="shared" si="0"/>
        <v>250</v>
      </c>
    </row>
    <row r="34" spans="1:6" x14ac:dyDescent="0.25">
      <c r="A34" s="25" t="s">
        <v>10</v>
      </c>
      <c r="B34">
        <v>88666</v>
      </c>
      <c r="C34">
        <v>8030</v>
      </c>
      <c r="D34">
        <v>119</v>
      </c>
      <c r="E34">
        <v>330</v>
      </c>
      <c r="F34">
        <f t="shared" si="0"/>
        <v>280</v>
      </c>
    </row>
    <row r="35" spans="1:6" x14ac:dyDescent="0.25">
      <c r="A35" s="25" t="s">
        <v>10</v>
      </c>
      <c r="B35">
        <v>88666</v>
      </c>
      <c r="C35">
        <v>8030</v>
      </c>
      <c r="D35">
        <v>107</v>
      </c>
      <c r="E35">
        <v>490</v>
      </c>
      <c r="F35">
        <f t="shared" si="0"/>
        <v>440</v>
      </c>
    </row>
    <row r="36" spans="1:6" x14ac:dyDescent="0.25">
      <c r="A36" s="25" t="s">
        <v>10</v>
      </c>
      <c r="B36">
        <v>88666</v>
      </c>
      <c r="C36">
        <v>8030</v>
      </c>
      <c r="D36">
        <v>105</v>
      </c>
      <c r="E36">
        <v>500</v>
      </c>
      <c r="F36">
        <f t="shared" ref="F36:F67" si="1">IF(VALUE(LEFT(B36,1))=8,E36-50,"")</f>
        <v>450</v>
      </c>
    </row>
    <row r="37" spans="1:6" x14ac:dyDescent="0.25">
      <c r="A37" s="25" t="s">
        <v>11</v>
      </c>
      <c r="B37">
        <v>88666</v>
      </c>
      <c r="C37">
        <v>8030</v>
      </c>
      <c r="D37">
        <v>115</v>
      </c>
      <c r="E37">
        <v>390</v>
      </c>
      <c r="F37">
        <f t="shared" si="1"/>
        <v>340</v>
      </c>
    </row>
    <row r="38" spans="1:6" x14ac:dyDescent="0.25">
      <c r="A38" s="25" t="s">
        <v>11</v>
      </c>
      <c r="B38">
        <v>88666</v>
      </c>
      <c r="C38">
        <v>8030</v>
      </c>
      <c r="D38">
        <v>116</v>
      </c>
      <c r="E38">
        <v>260</v>
      </c>
      <c r="F38">
        <f t="shared" si="1"/>
        <v>210</v>
      </c>
    </row>
    <row r="39" spans="1:6" x14ac:dyDescent="0.25">
      <c r="A39" s="25" t="s">
        <v>12</v>
      </c>
      <c r="B39">
        <v>44030</v>
      </c>
      <c r="C39">
        <v>8060</v>
      </c>
      <c r="D39">
        <v>108</v>
      </c>
      <c r="E39">
        <v>60</v>
      </c>
      <c r="F39" t="str">
        <f t="shared" si="1"/>
        <v/>
      </c>
    </row>
    <row r="40" spans="1:6" x14ac:dyDescent="0.25">
      <c r="A40" s="25" t="s">
        <v>12</v>
      </c>
      <c r="B40">
        <v>44030</v>
      </c>
      <c r="C40">
        <v>8060</v>
      </c>
      <c r="D40">
        <v>109</v>
      </c>
      <c r="E40">
        <v>60</v>
      </c>
      <c r="F40" t="str">
        <f t="shared" si="1"/>
        <v/>
      </c>
    </row>
    <row r="41" spans="1:6" x14ac:dyDescent="0.25">
      <c r="A41" s="25" t="s">
        <v>12</v>
      </c>
      <c r="B41">
        <v>44032</v>
      </c>
      <c r="C41">
        <v>8060</v>
      </c>
      <c r="D41">
        <v>108</v>
      </c>
      <c r="E41">
        <v>60</v>
      </c>
      <c r="F41" t="str">
        <f t="shared" si="1"/>
        <v/>
      </c>
    </row>
    <row r="42" spans="1:6" x14ac:dyDescent="0.25">
      <c r="A42" s="25" t="s">
        <v>12</v>
      </c>
      <c r="B42">
        <v>44032</v>
      </c>
      <c r="C42">
        <v>8060</v>
      </c>
      <c r="D42">
        <v>109</v>
      </c>
      <c r="E42">
        <v>70</v>
      </c>
      <c r="F42" t="str">
        <f t="shared" si="1"/>
        <v/>
      </c>
    </row>
    <row r="43" spans="1:6" x14ac:dyDescent="0.25">
      <c r="A43" s="25" t="s">
        <v>12</v>
      </c>
      <c r="B43">
        <v>44031</v>
      </c>
      <c r="C43">
        <v>8050</v>
      </c>
      <c r="D43">
        <v>108</v>
      </c>
      <c r="E43">
        <v>60</v>
      </c>
      <c r="F43" t="str">
        <f t="shared" si="1"/>
        <v/>
      </c>
    </row>
    <row r="44" spans="1:6" x14ac:dyDescent="0.25">
      <c r="A44" s="25" t="s">
        <v>12</v>
      </c>
      <c r="B44">
        <v>44031</v>
      </c>
      <c r="C44">
        <v>8050</v>
      </c>
      <c r="D44">
        <v>109</v>
      </c>
      <c r="E44">
        <v>50</v>
      </c>
      <c r="F44" t="str">
        <f t="shared" si="1"/>
        <v/>
      </c>
    </row>
    <row r="45" spans="1:6" x14ac:dyDescent="0.25">
      <c r="A45" s="25" t="s">
        <v>12</v>
      </c>
      <c r="B45">
        <v>44031</v>
      </c>
      <c r="C45">
        <v>8050</v>
      </c>
      <c r="D45">
        <v>110</v>
      </c>
      <c r="E45">
        <v>60</v>
      </c>
      <c r="F45" t="str">
        <f t="shared" si="1"/>
        <v/>
      </c>
    </row>
    <row r="46" spans="1:6" x14ac:dyDescent="0.25">
      <c r="A46" s="25" t="s">
        <v>12</v>
      </c>
      <c r="B46">
        <v>48112</v>
      </c>
      <c r="C46">
        <v>8060</v>
      </c>
      <c r="D46">
        <v>109</v>
      </c>
      <c r="E46">
        <v>60</v>
      </c>
      <c r="F46" t="str">
        <f t="shared" si="1"/>
        <v/>
      </c>
    </row>
    <row r="47" spans="1:6" x14ac:dyDescent="0.25">
      <c r="A47" s="25" t="s">
        <v>12</v>
      </c>
      <c r="B47">
        <v>48112</v>
      </c>
      <c r="C47">
        <v>8060</v>
      </c>
      <c r="D47">
        <v>110</v>
      </c>
      <c r="E47">
        <v>50</v>
      </c>
      <c r="F47" t="str">
        <f t="shared" si="1"/>
        <v/>
      </c>
    </row>
    <row r="48" spans="1:6" x14ac:dyDescent="0.25">
      <c r="A48" s="25" t="s">
        <v>12</v>
      </c>
      <c r="B48">
        <v>48114</v>
      </c>
      <c r="C48">
        <v>8050</v>
      </c>
      <c r="D48">
        <v>109</v>
      </c>
      <c r="E48">
        <v>60</v>
      </c>
      <c r="F48" t="str">
        <f t="shared" si="1"/>
        <v/>
      </c>
    </row>
    <row r="49" spans="1:6" x14ac:dyDescent="0.25">
      <c r="A49" s="25" t="s">
        <v>12</v>
      </c>
      <c r="B49">
        <v>48114</v>
      </c>
      <c r="C49">
        <v>8050</v>
      </c>
      <c r="D49">
        <v>110</v>
      </c>
      <c r="E49">
        <v>60</v>
      </c>
      <c r="F49" t="str">
        <f t="shared" si="1"/>
        <v/>
      </c>
    </row>
    <row r="50" spans="1:6" x14ac:dyDescent="0.25">
      <c r="A50" s="25" t="s">
        <v>12</v>
      </c>
      <c r="B50">
        <v>48114</v>
      </c>
      <c r="C50">
        <v>8050</v>
      </c>
      <c r="D50">
        <v>111</v>
      </c>
      <c r="E50">
        <v>80</v>
      </c>
      <c r="F50" t="str">
        <f t="shared" si="1"/>
        <v/>
      </c>
    </row>
    <row r="51" spans="1:6" x14ac:dyDescent="0.25">
      <c r="A51" s="25" t="s">
        <v>12</v>
      </c>
      <c r="B51">
        <v>48116</v>
      </c>
      <c r="C51">
        <v>8060</v>
      </c>
      <c r="D51">
        <v>109</v>
      </c>
      <c r="E51">
        <v>60</v>
      </c>
      <c r="F51" t="str">
        <f t="shared" si="1"/>
        <v/>
      </c>
    </row>
    <row r="52" spans="1:6" x14ac:dyDescent="0.25">
      <c r="A52" s="25" t="s">
        <v>12</v>
      </c>
      <c r="B52">
        <v>48116</v>
      </c>
      <c r="C52">
        <v>8060</v>
      </c>
      <c r="D52">
        <v>110</v>
      </c>
      <c r="E52">
        <v>60</v>
      </c>
      <c r="F52" t="str">
        <f t="shared" si="1"/>
        <v/>
      </c>
    </row>
    <row r="53" spans="1:6" x14ac:dyDescent="0.25">
      <c r="A53" s="25" t="s">
        <v>12</v>
      </c>
      <c r="B53">
        <v>45442</v>
      </c>
      <c r="C53">
        <v>8050</v>
      </c>
      <c r="D53">
        <v>108</v>
      </c>
      <c r="E53">
        <v>50</v>
      </c>
      <c r="F53" t="str">
        <f t="shared" si="1"/>
        <v/>
      </c>
    </row>
    <row r="54" spans="1:6" x14ac:dyDescent="0.25">
      <c r="A54" s="25" t="s">
        <v>12</v>
      </c>
      <c r="B54">
        <v>45442</v>
      </c>
      <c r="C54">
        <v>8050</v>
      </c>
      <c r="D54">
        <v>109</v>
      </c>
      <c r="E54">
        <v>60</v>
      </c>
      <c r="F54" t="str">
        <f t="shared" si="1"/>
        <v/>
      </c>
    </row>
    <row r="55" spans="1:6" x14ac:dyDescent="0.25">
      <c r="A55" s="25" t="s">
        <v>12</v>
      </c>
      <c r="B55">
        <v>45444</v>
      </c>
      <c r="C55">
        <v>8060</v>
      </c>
      <c r="D55">
        <v>108</v>
      </c>
      <c r="E55">
        <v>60</v>
      </c>
      <c r="F55" t="str">
        <f t="shared" si="1"/>
        <v/>
      </c>
    </row>
    <row r="56" spans="1:6" x14ac:dyDescent="0.25">
      <c r="A56" s="25" t="s">
        <v>12</v>
      </c>
      <c r="B56">
        <v>45444</v>
      </c>
      <c r="C56">
        <v>8060</v>
      </c>
      <c r="D56">
        <v>109</v>
      </c>
      <c r="E56">
        <v>70</v>
      </c>
      <c r="F56" t="str">
        <f t="shared" si="1"/>
        <v/>
      </c>
    </row>
    <row r="57" spans="1:6" x14ac:dyDescent="0.25">
      <c r="A57" s="25" t="s">
        <v>12</v>
      </c>
      <c r="B57">
        <v>45444</v>
      </c>
      <c r="C57">
        <v>8060</v>
      </c>
      <c r="D57">
        <v>110</v>
      </c>
      <c r="E57">
        <v>60</v>
      </c>
      <c r="F57" t="str">
        <f t="shared" si="1"/>
        <v/>
      </c>
    </row>
    <row r="58" spans="1:6" x14ac:dyDescent="0.25">
      <c r="A58" s="25" t="s">
        <v>12</v>
      </c>
      <c r="B58">
        <v>45446</v>
      </c>
      <c r="C58">
        <v>8050</v>
      </c>
      <c r="D58">
        <v>111</v>
      </c>
      <c r="E58">
        <v>80</v>
      </c>
      <c r="F58" t="str">
        <f t="shared" si="1"/>
        <v/>
      </c>
    </row>
    <row r="59" spans="1:6" x14ac:dyDescent="0.25">
      <c r="A59" s="25" t="s">
        <v>12</v>
      </c>
      <c r="B59">
        <v>45446</v>
      </c>
      <c r="C59">
        <v>8050</v>
      </c>
      <c r="D59">
        <v>108</v>
      </c>
      <c r="E59">
        <v>50</v>
      </c>
      <c r="F59" t="str">
        <f t="shared" si="1"/>
        <v/>
      </c>
    </row>
    <row r="60" spans="1:6" x14ac:dyDescent="0.25">
      <c r="A60" s="25" t="s">
        <v>12</v>
      </c>
      <c r="B60">
        <v>44015</v>
      </c>
      <c r="C60">
        <v>8060</v>
      </c>
      <c r="D60">
        <v>108</v>
      </c>
      <c r="E60">
        <v>60</v>
      </c>
      <c r="F60" t="str">
        <f t="shared" si="1"/>
        <v/>
      </c>
    </row>
    <row r="61" spans="1:6" x14ac:dyDescent="0.25">
      <c r="A61" s="25" t="s">
        <v>12</v>
      </c>
      <c r="B61">
        <v>44015</v>
      </c>
      <c r="C61">
        <v>8060</v>
      </c>
      <c r="D61">
        <v>109</v>
      </c>
      <c r="E61">
        <v>70</v>
      </c>
      <c r="F61" t="str">
        <f t="shared" si="1"/>
        <v/>
      </c>
    </row>
    <row r="62" spans="1:6" x14ac:dyDescent="0.25">
      <c r="A62" s="25" t="s">
        <v>12</v>
      </c>
      <c r="B62">
        <v>44017</v>
      </c>
      <c r="C62">
        <v>8060</v>
      </c>
      <c r="D62">
        <v>108</v>
      </c>
      <c r="E62">
        <v>70</v>
      </c>
      <c r="F62" t="str">
        <f t="shared" si="1"/>
        <v/>
      </c>
    </row>
    <row r="63" spans="1:6" x14ac:dyDescent="0.25">
      <c r="A63" s="25" t="s">
        <v>12</v>
      </c>
      <c r="B63">
        <v>44017</v>
      </c>
      <c r="C63">
        <v>8060</v>
      </c>
      <c r="D63">
        <v>109</v>
      </c>
      <c r="E63">
        <v>70</v>
      </c>
      <c r="F63" t="str">
        <f t="shared" si="1"/>
        <v/>
      </c>
    </row>
    <row r="64" spans="1:6" x14ac:dyDescent="0.25">
      <c r="A64" s="25" t="s">
        <v>12</v>
      </c>
      <c r="B64">
        <v>44016</v>
      </c>
      <c r="C64">
        <v>8050</v>
      </c>
      <c r="D64">
        <v>108</v>
      </c>
      <c r="E64">
        <v>70</v>
      </c>
      <c r="F64" t="str">
        <f t="shared" si="1"/>
        <v/>
      </c>
    </row>
    <row r="65" spans="1:6" x14ac:dyDescent="0.25">
      <c r="A65" s="25" t="s">
        <v>12</v>
      </c>
      <c r="B65">
        <v>44016</v>
      </c>
      <c r="C65">
        <v>8050</v>
      </c>
      <c r="D65">
        <v>109</v>
      </c>
      <c r="E65">
        <v>60</v>
      </c>
      <c r="F65" t="str">
        <f t="shared" si="1"/>
        <v/>
      </c>
    </row>
    <row r="66" spans="1:6" x14ac:dyDescent="0.25">
      <c r="A66" s="25" t="s">
        <v>12</v>
      </c>
      <c r="B66">
        <v>44016</v>
      </c>
      <c r="C66">
        <v>8050</v>
      </c>
      <c r="D66">
        <v>110</v>
      </c>
      <c r="E66">
        <v>50</v>
      </c>
      <c r="F66" t="str">
        <f t="shared" si="1"/>
        <v/>
      </c>
    </row>
    <row r="67" spans="1:6" x14ac:dyDescent="0.25">
      <c r="A67" s="25" t="s">
        <v>12</v>
      </c>
      <c r="B67">
        <v>48097</v>
      </c>
      <c r="C67">
        <v>8060</v>
      </c>
      <c r="D67">
        <v>109</v>
      </c>
      <c r="E67">
        <v>60</v>
      </c>
      <c r="F67" t="str">
        <f t="shared" si="1"/>
        <v/>
      </c>
    </row>
    <row r="68" spans="1:6" x14ac:dyDescent="0.25">
      <c r="A68" s="25" t="s">
        <v>12</v>
      </c>
      <c r="B68">
        <v>48097</v>
      </c>
      <c r="C68">
        <v>8060</v>
      </c>
      <c r="D68">
        <v>110</v>
      </c>
      <c r="E68">
        <v>70</v>
      </c>
      <c r="F68" t="str">
        <f t="shared" ref="F68:F80" si="2">IF(VALUE(LEFT(B68,1))=8,E68-50,"")</f>
        <v/>
      </c>
    </row>
    <row r="69" spans="1:6" x14ac:dyDescent="0.25">
      <c r="A69" s="25" t="s">
        <v>12</v>
      </c>
      <c r="B69">
        <v>48099</v>
      </c>
      <c r="C69">
        <v>8050</v>
      </c>
      <c r="D69">
        <v>109</v>
      </c>
      <c r="E69">
        <v>60</v>
      </c>
      <c r="F69" t="str">
        <f t="shared" si="2"/>
        <v/>
      </c>
    </row>
    <row r="70" spans="1:6" x14ac:dyDescent="0.25">
      <c r="A70" s="25" t="s">
        <v>12</v>
      </c>
      <c r="B70">
        <v>48099</v>
      </c>
      <c r="C70">
        <v>8050</v>
      </c>
      <c r="D70">
        <v>110</v>
      </c>
      <c r="E70">
        <v>60</v>
      </c>
      <c r="F70" t="str">
        <f t="shared" si="2"/>
        <v/>
      </c>
    </row>
    <row r="71" spans="1:6" x14ac:dyDescent="0.25">
      <c r="A71" s="25" t="s">
        <v>12</v>
      </c>
      <c r="B71">
        <v>48099</v>
      </c>
      <c r="C71">
        <v>8050</v>
      </c>
      <c r="D71">
        <v>111</v>
      </c>
      <c r="E71">
        <v>60</v>
      </c>
      <c r="F71" t="str">
        <f t="shared" si="2"/>
        <v/>
      </c>
    </row>
    <row r="72" spans="1:6" x14ac:dyDescent="0.25">
      <c r="A72" s="25" t="s">
        <v>12</v>
      </c>
      <c r="B72">
        <v>48101</v>
      </c>
      <c r="C72">
        <v>8060</v>
      </c>
      <c r="D72">
        <v>109</v>
      </c>
      <c r="E72">
        <v>60</v>
      </c>
      <c r="F72" t="str">
        <f t="shared" si="2"/>
        <v/>
      </c>
    </row>
    <row r="73" spans="1:6" x14ac:dyDescent="0.25">
      <c r="A73" s="25" t="s">
        <v>12</v>
      </c>
      <c r="B73">
        <v>48101</v>
      </c>
      <c r="C73">
        <v>8060</v>
      </c>
      <c r="D73">
        <v>110</v>
      </c>
      <c r="E73">
        <v>50</v>
      </c>
      <c r="F73" t="str">
        <f t="shared" si="2"/>
        <v/>
      </c>
    </row>
    <row r="74" spans="1:6" x14ac:dyDescent="0.25">
      <c r="A74" s="25" t="s">
        <v>12</v>
      </c>
      <c r="B74">
        <v>45427</v>
      </c>
      <c r="C74">
        <v>8050</v>
      </c>
      <c r="D74">
        <v>108</v>
      </c>
      <c r="E74">
        <v>70</v>
      </c>
      <c r="F74" t="str">
        <f t="shared" si="2"/>
        <v/>
      </c>
    </row>
    <row r="75" spans="1:6" x14ac:dyDescent="0.25">
      <c r="A75" s="25" t="s">
        <v>12</v>
      </c>
      <c r="B75">
        <v>45427</v>
      </c>
      <c r="C75">
        <v>8050</v>
      </c>
      <c r="D75">
        <v>109</v>
      </c>
      <c r="E75">
        <v>60</v>
      </c>
      <c r="F75" t="str">
        <f t="shared" si="2"/>
        <v/>
      </c>
    </row>
    <row r="76" spans="1:6" x14ac:dyDescent="0.25">
      <c r="A76" s="25" t="s">
        <v>12</v>
      </c>
      <c r="B76">
        <v>45429</v>
      </c>
      <c r="C76">
        <v>8060</v>
      </c>
      <c r="D76">
        <v>108</v>
      </c>
      <c r="E76">
        <v>80</v>
      </c>
      <c r="F76" t="str">
        <f t="shared" si="2"/>
        <v/>
      </c>
    </row>
    <row r="77" spans="1:6" x14ac:dyDescent="0.25">
      <c r="A77" s="25" t="s">
        <v>12</v>
      </c>
      <c r="B77">
        <v>45429</v>
      </c>
      <c r="C77">
        <v>8060</v>
      </c>
      <c r="D77">
        <v>109</v>
      </c>
      <c r="E77">
        <v>80</v>
      </c>
      <c r="F77" t="str">
        <f t="shared" si="2"/>
        <v/>
      </c>
    </row>
    <row r="78" spans="1:6" x14ac:dyDescent="0.25">
      <c r="A78" s="25" t="s">
        <v>12</v>
      </c>
      <c r="B78">
        <v>45429</v>
      </c>
      <c r="C78">
        <v>8060</v>
      </c>
      <c r="D78">
        <v>110</v>
      </c>
      <c r="E78">
        <v>50</v>
      </c>
      <c r="F78" t="str">
        <f t="shared" si="2"/>
        <v/>
      </c>
    </row>
    <row r="79" spans="1:6" x14ac:dyDescent="0.25">
      <c r="A79" s="25" t="s">
        <v>12</v>
      </c>
      <c r="B79">
        <v>45431</v>
      </c>
      <c r="C79">
        <v>8050</v>
      </c>
      <c r="D79">
        <v>111</v>
      </c>
      <c r="E79">
        <v>60</v>
      </c>
      <c r="F79" t="str">
        <f t="shared" si="2"/>
        <v/>
      </c>
    </row>
    <row r="80" spans="1:6" x14ac:dyDescent="0.25">
      <c r="A80" s="25" t="s">
        <v>12</v>
      </c>
      <c r="B80">
        <v>45431</v>
      </c>
      <c r="C80">
        <v>8050</v>
      </c>
      <c r="D80">
        <v>108</v>
      </c>
      <c r="E80">
        <v>60</v>
      </c>
      <c r="F80" t="str">
        <f t="shared" si="2"/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G21"/>
  <sheetViews>
    <sheetView workbookViewId="0">
      <selection activeCell="I7" sqref="I7"/>
    </sheetView>
  </sheetViews>
  <sheetFormatPr defaultRowHeight="15" x14ac:dyDescent="0.25"/>
  <cols>
    <col min="1" max="1" width="13.140625" bestFit="1" customWidth="1"/>
    <col min="2" max="2" width="15.42578125" bestFit="1" customWidth="1"/>
    <col min="3" max="3" width="10.7109375" bestFit="1" customWidth="1"/>
    <col min="5" max="5" width="12" bestFit="1" customWidth="1"/>
    <col min="6" max="6" width="13.140625" bestFit="1" customWidth="1"/>
    <col min="7" max="7" width="15.42578125" bestFit="1" customWidth="1"/>
    <col min="9" max="9" width="12" customWidth="1"/>
    <col min="10" max="10" width="14.140625" customWidth="1"/>
  </cols>
  <sheetData>
    <row r="1" spans="1:7" ht="18.75" x14ac:dyDescent="0.3">
      <c r="A1" s="4" t="s">
        <v>46</v>
      </c>
      <c r="B1" s="5"/>
      <c r="C1" s="5"/>
      <c r="D1" s="5"/>
      <c r="E1" s="5"/>
    </row>
    <row r="2" spans="1:7" x14ac:dyDescent="0.25">
      <c r="A2" t="s">
        <v>64</v>
      </c>
    </row>
    <row r="3" spans="1:7" x14ac:dyDescent="0.25">
      <c r="A3" t="s">
        <v>48</v>
      </c>
    </row>
    <row r="4" spans="1:7" x14ac:dyDescent="0.25">
      <c r="A4" t="s">
        <v>49</v>
      </c>
    </row>
    <row r="5" spans="1:7" x14ac:dyDescent="0.25">
      <c r="A5" t="s">
        <v>50</v>
      </c>
    </row>
    <row r="6" spans="1:7" x14ac:dyDescent="0.25">
      <c r="A6" t="s">
        <v>51</v>
      </c>
    </row>
    <row r="7" spans="1:7" ht="40.9" customHeight="1" x14ac:dyDescent="0.25"/>
    <row r="8" spans="1:7" x14ac:dyDescent="0.25">
      <c r="A8" s="49" t="s">
        <v>66</v>
      </c>
      <c r="B8" t="s">
        <v>68</v>
      </c>
      <c r="C8" t="s">
        <v>69</v>
      </c>
      <c r="F8" s="49" t="s">
        <v>66</v>
      </c>
      <c r="G8" t="s">
        <v>68</v>
      </c>
    </row>
    <row r="9" spans="1:7" x14ac:dyDescent="0.25">
      <c r="A9" s="50">
        <v>8030</v>
      </c>
      <c r="B9" s="52">
        <v>1970</v>
      </c>
      <c r="C9" s="51">
        <v>9.7092163627402667E-2</v>
      </c>
      <c r="F9" s="50">
        <v>103</v>
      </c>
      <c r="G9" s="52">
        <v>780</v>
      </c>
    </row>
    <row r="10" spans="1:7" x14ac:dyDescent="0.25">
      <c r="A10" s="50">
        <v>8040</v>
      </c>
      <c r="B10" s="52">
        <v>10210</v>
      </c>
      <c r="C10" s="51">
        <v>0.50320354854608185</v>
      </c>
      <c r="F10" s="50">
        <v>104</v>
      </c>
      <c r="G10" s="52">
        <v>1920</v>
      </c>
    </row>
    <row r="11" spans="1:7" x14ac:dyDescent="0.25">
      <c r="A11" s="50">
        <v>8050</v>
      </c>
      <c r="B11" s="52">
        <v>6720</v>
      </c>
      <c r="C11" s="51">
        <v>0.33119763430261212</v>
      </c>
      <c r="F11" s="50">
        <v>105</v>
      </c>
      <c r="G11" s="52">
        <v>760</v>
      </c>
    </row>
    <row r="12" spans="1:7" x14ac:dyDescent="0.25">
      <c r="A12" s="50">
        <v>8060</v>
      </c>
      <c r="B12" s="52">
        <v>1390</v>
      </c>
      <c r="C12" s="51">
        <v>6.8506653523903407E-2</v>
      </c>
      <c r="F12" s="50">
        <v>107</v>
      </c>
      <c r="G12" s="52">
        <v>3110</v>
      </c>
    </row>
    <row r="13" spans="1:7" x14ac:dyDescent="0.25">
      <c r="A13" s="50" t="s">
        <v>67</v>
      </c>
      <c r="B13" s="52">
        <v>20290</v>
      </c>
      <c r="C13" s="51">
        <v>1</v>
      </c>
      <c r="F13" s="50">
        <v>109</v>
      </c>
      <c r="G13" s="52">
        <v>1860</v>
      </c>
    </row>
    <row r="14" spans="1:7" x14ac:dyDescent="0.25">
      <c r="F14" s="50">
        <v>110</v>
      </c>
      <c r="G14" s="52">
        <v>2400</v>
      </c>
    </row>
    <row r="15" spans="1:7" x14ac:dyDescent="0.25">
      <c r="F15" s="50">
        <v>111</v>
      </c>
      <c r="G15" s="52">
        <v>1700</v>
      </c>
    </row>
    <row r="16" spans="1:7" x14ac:dyDescent="0.25">
      <c r="F16" s="50">
        <v>116</v>
      </c>
      <c r="G16" s="52">
        <v>1070</v>
      </c>
    </row>
    <row r="17" spans="6:7" x14ac:dyDescent="0.25">
      <c r="F17" s="50">
        <v>119</v>
      </c>
      <c r="G17" s="52">
        <v>2270</v>
      </c>
    </row>
    <row r="18" spans="6:7" x14ac:dyDescent="0.25">
      <c r="F18" s="50">
        <v>120</v>
      </c>
      <c r="G18" s="52">
        <v>1610</v>
      </c>
    </row>
    <row r="19" spans="6:7" x14ac:dyDescent="0.25">
      <c r="F19" s="50">
        <v>115</v>
      </c>
      <c r="G19" s="52">
        <v>1230</v>
      </c>
    </row>
    <row r="20" spans="6:7" x14ac:dyDescent="0.25">
      <c r="F20" s="50">
        <v>108</v>
      </c>
      <c r="G20" s="52">
        <v>1580</v>
      </c>
    </row>
    <row r="21" spans="6:7" x14ac:dyDescent="0.25">
      <c r="F21" s="50" t="s">
        <v>67</v>
      </c>
      <c r="G21" s="52">
        <v>20290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0" tint="-0.14999847407452621"/>
  </sheetPr>
  <dimension ref="A3:E20"/>
  <sheetViews>
    <sheetView workbookViewId="0">
      <selection activeCell="D15" sqref="D15"/>
    </sheetView>
  </sheetViews>
  <sheetFormatPr defaultRowHeight="15" x14ac:dyDescent="0.25"/>
  <cols>
    <col min="1" max="1" width="11.5703125" customWidth="1"/>
    <col min="2" max="2" width="14.5703125" customWidth="1"/>
    <col min="3" max="3" width="13.85546875" customWidth="1"/>
    <col min="4" max="4" width="11.5703125" customWidth="1"/>
    <col min="5" max="5" width="9.140625" customWidth="1"/>
  </cols>
  <sheetData>
    <row r="3" spans="1:5" x14ac:dyDescent="0.25">
      <c r="A3" t="s">
        <v>47</v>
      </c>
    </row>
    <row r="4" spans="1:5" x14ac:dyDescent="0.25">
      <c r="A4" s="24" t="s">
        <v>3</v>
      </c>
      <c r="B4" s="24" t="s">
        <v>4</v>
      </c>
      <c r="C4" s="24" t="s">
        <v>5</v>
      </c>
      <c r="D4" s="24" t="s">
        <v>6</v>
      </c>
      <c r="E4" s="24" t="s">
        <v>7</v>
      </c>
    </row>
    <row r="5" spans="1:5" x14ac:dyDescent="0.25">
      <c r="A5" s="25" t="s">
        <v>8</v>
      </c>
      <c r="B5">
        <v>84030</v>
      </c>
      <c r="C5">
        <v>8050</v>
      </c>
      <c r="D5">
        <v>120</v>
      </c>
      <c r="E5">
        <v>130</v>
      </c>
    </row>
    <row r="6" spans="1:5" x14ac:dyDescent="0.25">
      <c r="A6" s="25" t="s">
        <v>8</v>
      </c>
      <c r="B6">
        <v>84030</v>
      </c>
      <c r="C6">
        <v>8050</v>
      </c>
      <c r="D6">
        <v>104</v>
      </c>
      <c r="E6">
        <v>530</v>
      </c>
    </row>
    <row r="7" spans="1:5" x14ac:dyDescent="0.25">
      <c r="A7" s="25" t="s">
        <v>8</v>
      </c>
      <c r="B7">
        <v>84030</v>
      </c>
      <c r="C7">
        <v>8050</v>
      </c>
      <c r="D7">
        <v>105</v>
      </c>
      <c r="E7">
        <v>130</v>
      </c>
    </row>
    <row r="8" spans="1:5" x14ac:dyDescent="0.25">
      <c r="A8" s="25" t="s">
        <v>8</v>
      </c>
      <c r="B8">
        <v>84030</v>
      </c>
      <c r="C8">
        <v>8050</v>
      </c>
      <c r="D8">
        <v>107</v>
      </c>
      <c r="E8">
        <v>740</v>
      </c>
    </row>
    <row r="9" spans="1:5" x14ac:dyDescent="0.25">
      <c r="A9" s="25" t="s">
        <v>8</v>
      </c>
      <c r="B9">
        <v>84031</v>
      </c>
      <c r="C9">
        <v>8040</v>
      </c>
      <c r="D9">
        <v>104</v>
      </c>
      <c r="E9">
        <v>920</v>
      </c>
    </row>
    <row r="10" spans="1:5" x14ac:dyDescent="0.25">
      <c r="A10" s="25" t="s">
        <v>8</v>
      </c>
      <c r="B10">
        <v>84031</v>
      </c>
      <c r="C10">
        <v>8040</v>
      </c>
      <c r="D10">
        <v>107</v>
      </c>
      <c r="E10">
        <v>810</v>
      </c>
    </row>
    <row r="11" spans="1:5" x14ac:dyDescent="0.25">
      <c r="A11" s="25" t="s">
        <v>8</v>
      </c>
      <c r="B11">
        <v>84031</v>
      </c>
      <c r="C11">
        <v>8040</v>
      </c>
      <c r="D11">
        <v>110</v>
      </c>
      <c r="E11">
        <v>550</v>
      </c>
    </row>
    <row r="12" spans="1:5" x14ac:dyDescent="0.25">
      <c r="A12" s="25" t="s">
        <v>8</v>
      </c>
      <c r="B12">
        <v>88112</v>
      </c>
      <c r="C12">
        <v>8040</v>
      </c>
      <c r="D12">
        <v>110</v>
      </c>
      <c r="E12">
        <v>530</v>
      </c>
    </row>
    <row r="13" spans="1:5" x14ac:dyDescent="0.25">
      <c r="A13" s="25" t="s">
        <v>8</v>
      </c>
      <c r="B13">
        <v>88112</v>
      </c>
      <c r="C13">
        <v>8040</v>
      </c>
      <c r="D13">
        <v>119</v>
      </c>
      <c r="E13">
        <v>690</v>
      </c>
    </row>
    <row r="14" spans="1:5" x14ac:dyDescent="0.25">
      <c r="A14" s="25" t="s">
        <v>8</v>
      </c>
      <c r="B14">
        <v>88112</v>
      </c>
      <c r="C14">
        <v>8040</v>
      </c>
      <c r="D14">
        <v>120</v>
      </c>
      <c r="E14">
        <v>150</v>
      </c>
    </row>
    <row r="15" spans="1:5" x14ac:dyDescent="0.25">
      <c r="A15" s="25" t="s">
        <v>8</v>
      </c>
      <c r="B15">
        <v>88112</v>
      </c>
      <c r="C15">
        <v>8040</v>
      </c>
      <c r="D15">
        <v>116</v>
      </c>
      <c r="E15">
        <v>810</v>
      </c>
    </row>
    <row r="16" spans="1:5" x14ac:dyDescent="0.25">
      <c r="A16" s="25" t="s">
        <v>8</v>
      </c>
      <c r="B16">
        <v>88112</v>
      </c>
      <c r="C16">
        <v>8040</v>
      </c>
      <c r="D16">
        <v>111</v>
      </c>
      <c r="E16">
        <v>640</v>
      </c>
    </row>
    <row r="17" spans="1:5" x14ac:dyDescent="0.25">
      <c r="A17" s="25" t="s">
        <v>9</v>
      </c>
      <c r="B17">
        <v>88112</v>
      </c>
      <c r="C17">
        <v>8040</v>
      </c>
      <c r="D17">
        <v>110</v>
      </c>
      <c r="E17">
        <v>570</v>
      </c>
    </row>
    <row r="18" spans="1:5" x14ac:dyDescent="0.25">
      <c r="A18" s="25" t="s">
        <v>9</v>
      </c>
      <c r="B18">
        <v>88112</v>
      </c>
      <c r="C18">
        <v>8040</v>
      </c>
      <c r="D18">
        <v>109</v>
      </c>
      <c r="E18">
        <v>260</v>
      </c>
    </row>
    <row r="19" spans="1:5" x14ac:dyDescent="0.25">
      <c r="A19" s="25" t="s">
        <v>9</v>
      </c>
      <c r="B19">
        <v>85442</v>
      </c>
      <c r="C19">
        <v>8050</v>
      </c>
      <c r="D19">
        <v>107</v>
      </c>
      <c r="E19">
        <v>270</v>
      </c>
    </row>
    <row r="20" spans="1:5" x14ac:dyDescent="0.25">
      <c r="A20" s="25" t="s">
        <v>9</v>
      </c>
      <c r="B20">
        <v>85442</v>
      </c>
      <c r="C20">
        <v>8050</v>
      </c>
      <c r="D20">
        <v>103</v>
      </c>
      <c r="E20">
        <v>670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7" tint="0.79998168889431442"/>
  </sheetPr>
  <dimension ref="A1:K27"/>
  <sheetViews>
    <sheetView tabSelected="1" workbookViewId="0">
      <selection activeCell="K22" sqref="K22"/>
    </sheetView>
  </sheetViews>
  <sheetFormatPr defaultColWidth="9" defaultRowHeight="15" x14ac:dyDescent="0.25"/>
  <cols>
    <col min="11" max="11" width="12" customWidth="1"/>
  </cols>
  <sheetData>
    <row r="1" spans="1:11" ht="18.75" x14ac:dyDescent="0.3">
      <c r="A1" s="4" t="s">
        <v>39</v>
      </c>
      <c r="B1" s="4"/>
      <c r="C1" s="4"/>
      <c r="D1" s="4"/>
      <c r="E1" s="4"/>
      <c r="F1" s="4"/>
      <c r="G1" s="5"/>
      <c r="H1" s="5"/>
      <c r="I1" s="5"/>
      <c r="J1" s="5"/>
    </row>
    <row r="2" spans="1:11" x14ac:dyDescent="0.25">
      <c r="A2" t="s">
        <v>40</v>
      </c>
    </row>
    <row r="3" spans="1:11" x14ac:dyDescent="0.25">
      <c r="A3" t="s">
        <v>41</v>
      </c>
    </row>
    <row r="4" spans="1:11" x14ac:dyDescent="0.25">
      <c r="A4" t="s">
        <v>42</v>
      </c>
    </row>
    <row r="6" spans="1:11" x14ac:dyDescent="0.25">
      <c r="B6" s="6" t="s">
        <v>13</v>
      </c>
      <c r="C6" s="6"/>
      <c r="D6" s="27" t="s">
        <v>14</v>
      </c>
      <c r="E6" s="27"/>
      <c r="F6" s="28" t="s">
        <v>15</v>
      </c>
      <c r="G6" s="28"/>
      <c r="H6" s="27" t="s">
        <v>16</v>
      </c>
      <c r="I6" s="27"/>
      <c r="J6" s="28" t="s">
        <v>17</v>
      </c>
      <c r="K6" s="28"/>
    </row>
    <row r="7" spans="1:11" ht="25.5" x14ac:dyDescent="0.25">
      <c r="A7" s="29" t="s">
        <v>18</v>
      </c>
      <c r="B7" s="29" t="s">
        <v>19</v>
      </c>
      <c r="C7" s="29" t="s">
        <v>20</v>
      </c>
      <c r="D7" s="29" t="s">
        <v>19</v>
      </c>
      <c r="E7" s="29" t="s">
        <v>20</v>
      </c>
      <c r="F7" s="29" t="s">
        <v>19</v>
      </c>
      <c r="G7" s="29" t="s">
        <v>20</v>
      </c>
      <c r="H7" s="24" t="s">
        <v>21</v>
      </c>
      <c r="I7" s="24" t="s">
        <v>22</v>
      </c>
      <c r="J7" s="24" t="s">
        <v>21</v>
      </c>
      <c r="K7" s="24" t="s">
        <v>22</v>
      </c>
    </row>
    <row r="8" spans="1:11" x14ac:dyDescent="0.25">
      <c r="A8" t="s">
        <v>23</v>
      </c>
      <c r="B8">
        <v>14432</v>
      </c>
      <c r="C8">
        <v>240</v>
      </c>
      <c r="D8">
        <v>0</v>
      </c>
      <c r="E8">
        <v>0</v>
      </c>
      <c r="F8">
        <v>15113</v>
      </c>
      <c r="G8">
        <v>363</v>
      </c>
      <c r="H8" s="26" t="str">
        <f>IFERROR(B8/D8-1, "")</f>
        <v/>
      </c>
      <c r="I8" s="26" t="str">
        <f>IFERROR(C8/E8-1, "")</f>
        <v/>
      </c>
      <c r="J8" s="26">
        <f>IFERROR(B8/F8-1, "")</f>
        <v>-4.5060543902600392E-2</v>
      </c>
      <c r="K8" s="26">
        <f>IFERROR(C8/G8-1, "")</f>
        <v>-0.33884297520661155</v>
      </c>
    </row>
    <row r="9" spans="1:11" x14ac:dyDescent="0.25">
      <c r="A9" t="s">
        <v>24</v>
      </c>
      <c r="B9">
        <v>17990</v>
      </c>
      <c r="C9">
        <v>1166</v>
      </c>
      <c r="D9">
        <v>16395</v>
      </c>
      <c r="E9">
        <v>1003</v>
      </c>
      <c r="F9">
        <v>18181</v>
      </c>
      <c r="G9">
        <v>1223</v>
      </c>
      <c r="H9" s="26">
        <f>IFERROR(B9/D9-1, "")</f>
        <v>9.7285757853003973E-2</v>
      </c>
      <c r="I9" s="26">
        <f>IFERROR(C9/E9-1, "")</f>
        <v>0.16251246261216346</v>
      </c>
      <c r="J9" s="26">
        <f>IFERROR(B9/F9-1, "")</f>
        <v>-1.0505472746273559E-2</v>
      </c>
      <c r="K9" s="26">
        <f>IFERROR(C9/G9-1, "")</f>
        <v>-4.6606704824202816E-2</v>
      </c>
    </row>
    <row r="10" spans="1:11" x14ac:dyDescent="0.25">
      <c r="A10" t="s">
        <v>25</v>
      </c>
      <c r="B10">
        <v>15117</v>
      </c>
      <c r="C10">
        <v>1613</v>
      </c>
      <c r="D10">
        <v>14138</v>
      </c>
      <c r="E10">
        <v>1200</v>
      </c>
      <c r="F10">
        <v>13455</v>
      </c>
      <c r="G10">
        <v>1400</v>
      </c>
      <c r="H10" s="26">
        <f>IFERROR(B10/D10-1, "")</f>
        <v>6.924600367803091E-2</v>
      </c>
      <c r="I10" s="26">
        <f>IFERROR(C10/E10-1, "")</f>
        <v>0.34416666666666673</v>
      </c>
      <c r="J10" s="26">
        <f>IFERROR(B10/F10-1, "")</f>
        <v>0.12352285395763651</v>
      </c>
      <c r="K10" s="26">
        <f>IFERROR(C10/G10-1, "")</f>
        <v>0.15214285714285714</v>
      </c>
    </row>
    <row r="11" spans="1:11" x14ac:dyDescent="0.25">
      <c r="A11" t="s">
        <v>26</v>
      </c>
      <c r="B11">
        <v>11154</v>
      </c>
      <c r="C11">
        <v>731</v>
      </c>
      <c r="D11">
        <v>11502</v>
      </c>
      <c r="E11">
        <v>499</v>
      </c>
      <c r="F11">
        <v>12031</v>
      </c>
      <c r="G11">
        <v>641</v>
      </c>
      <c r="H11" s="26">
        <f>IFERROR(B11/D11-1, "")</f>
        <v>-3.0255607720396482E-2</v>
      </c>
      <c r="I11" s="26">
        <f>IFERROR(C11/E11-1, "")</f>
        <v>0.4649298597194389</v>
      </c>
      <c r="J11" s="26">
        <f>IFERROR(B11/F11-1, "")</f>
        <v>-7.2895021195245602E-2</v>
      </c>
      <c r="K11" s="26">
        <f>IFERROR(C11/G11-1, "")</f>
        <v>0.14040561622464898</v>
      </c>
    </row>
    <row r="12" spans="1:11" x14ac:dyDescent="0.25">
      <c r="A12" t="s">
        <v>27</v>
      </c>
      <c r="B12">
        <v>11022</v>
      </c>
      <c r="C12">
        <v>550</v>
      </c>
      <c r="D12">
        <v>14644</v>
      </c>
      <c r="E12">
        <v>780</v>
      </c>
      <c r="F12">
        <v>0</v>
      </c>
      <c r="G12">
        <v>0</v>
      </c>
      <c r="H12" s="26">
        <f>IFERROR(B12/D12-1, "")</f>
        <v>-0.24733679322589452</v>
      </c>
      <c r="I12" s="26">
        <f>IFERROR(C12/E12-1, "")</f>
        <v>-0.29487179487179482</v>
      </c>
      <c r="J12" s="26" t="str">
        <f>IFERROR(B12/F12-1, "")</f>
        <v/>
      </c>
      <c r="K12" s="26" t="str">
        <f>IFERROR(C12/G12-1, "")</f>
        <v/>
      </c>
    </row>
    <row r="13" spans="1:11" x14ac:dyDescent="0.25">
      <c r="A13" t="s">
        <v>28</v>
      </c>
      <c r="B13">
        <v>8905</v>
      </c>
      <c r="C13">
        <v>469</v>
      </c>
      <c r="D13">
        <v>8796</v>
      </c>
      <c r="E13">
        <v>316</v>
      </c>
      <c r="F13">
        <v>9096</v>
      </c>
      <c r="G13">
        <v>620</v>
      </c>
      <c r="H13" s="26">
        <f>IFERROR(B13/D13-1, "")</f>
        <v>1.2391996361982738E-2</v>
      </c>
      <c r="I13" s="26">
        <f>IFERROR(C13/E13-1, "")</f>
        <v>0.48417721518987333</v>
      </c>
      <c r="J13" s="26">
        <f>IFERROR(B13/F13-1, "")</f>
        <v>-2.0998240985048322E-2</v>
      </c>
      <c r="K13" s="26">
        <f>IFERROR(C13/G13-1, "")</f>
        <v>-0.24354838709677418</v>
      </c>
    </row>
    <row r="14" spans="1:11" x14ac:dyDescent="0.25">
      <c r="A14" t="s">
        <v>29</v>
      </c>
      <c r="B14">
        <v>16735</v>
      </c>
      <c r="C14">
        <v>800</v>
      </c>
      <c r="D14" t="s">
        <v>38</v>
      </c>
      <c r="E14" t="s">
        <v>38</v>
      </c>
      <c r="F14">
        <v>18207</v>
      </c>
      <c r="G14">
        <v>1176</v>
      </c>
      <c r="H14" s="26" t="str">
        <f>IFERROR(B14/D14-1, "")</f>
        <v/>
      </c>
      <c r="I14" s="26" t="str">
        <f>IFERROR(C14/E14-1, "")</f>
        <v/>
      </c>
      <c r="J14" s="26">
        <f>IFERROR(B14/F14-1, "")</f>
        <v>-8.0848025484703712E-2</v>
      </c>
      <c r="K14" s="26">
        <f>IFERROR(C14/G14-1, "")</f>
        <v>-0.31972789115646261</v>
      </c>
    </row>
    <row r="15" spans="1:11" x14ac:dyDescent="0.25">
      <c r="A15" t="s">
        <v>30</v>
      </c>
      <c r="B15">
        <v>3635</v>
      </c>
      <c r="C15">
        <v>96</v>
      </c>
      <c r="D15">
        <v>2337</v>
      </c>
      <c r="E15">
        <v>90</v>
      </c>
      <c r="F15">
        <v>3579</v>
      </c>
      <c r="G15">
        <v>184</v>
      </c>
      <c r="H15" s="26">
        <f>IFERROR(B15/D15-1, "")</f>
        <v>0.55541292255027819</v>
      </c>
      <c r="I15" s="26">
        <f>IFERROR(C15/E15-1, "")</f>
        <v>6.6666666666666652E-2</v>
      </c>
      <c r="J15" s="26">
        <f>IFERROR(B15/F15-1, "")</f>
        <v>1.5646828723107076E-2</v>
      </c>
      <c r="K15" s="26">
        <f>IFERROR(C15/G15-1, "")</f>
        <v>-0.47826086956521741</v>
      </c>
    </row>
    <row r="16" spans="1:11" x14ac:dyDescent="0.25">
      <c r="A16" t="s">
        <v>31</v>
      </c>
      <c r="B16">
        <v>15627</v>
      </c>
      <c r="C16">
        <v>1996</v>
      </c>
      <c r="D16">
        <v>0</v>
      </c>
      <c r="E16">
        <v>0</v>
      </c>
      <c r="F16">
        <v>14634</v>
      </c>
      <c r="G16">
        <v>1584</v>
      </c>
      <c r="H16" s="26" t="str">
        <f>IFERROR(B16/D16-1, "")</f>
        <v/>
      </c>
      <c r="I16" s="26" t="str">
        <f>IFERROR(C16/E16-1, "")</f>
        <v/>
      </c>
      <c r="J16" s="26">
        <f>IFERROR(B16/F16-1, "")</f>
        <v>6.7855678556785648E-2</v>
      </c>
      <c r="K16" s="26">
        <f>IFERROR(C16/G16-1, "")</f>
        <v>0.26010101010101017</v>
      </c>
    </row>
    <row r="17" spans="1:11" x14ac:dyDescent="0.25">
      <c r="A17" t="s">
        <v>32</v>
      </c>
      <c r="B17">
        <v>7270</v>
      </c>
      <c r="C17">
        <v>150</v>
      </c>
      <c r="D17">
        <v>7119</v>
      </c>
      <c r="E17">
        <v>349</v>
      </c>
      <c r="F17">
        <v>7158</v>
      </c>
      <c r="G17">
        <v>120</v>
      </c>
      <c r="H17" s="26">
        <f>IFERROR(B17/D17-1, "")</f>
        <v>2.1210844219693881E-2</v>
      </c>
      <c r="I17" s="26">
        <f>IFERROR(C17/E17-1, "")</f>
        <v>-0.57020057306590255</v>
      </c>
      <c r="J17" s="26">
        <f>IFERROR(B17/F17-1, "")</f>
        <v>1.5646828723107076E-2</v>
      </c>
      <c r="K17" s="26">
        <f>IFERROR(C17/G17-1, "")</f>
        <v>0.25</v>
      </c>
    </row>
    <row r="18" spans="1:11" x14ac:dyDescent="0.25">
      <c r="A18" t="s">
        <v>33</v>
      </c>
      <c r="B18">
        <v>5955</v>
      </c>
      <c r="C18">
        <v>260</v>
      </c>
      <c r="D18">
        <v>5612</v>
      </c>
      <c r="E18">
        <v>233</v>
      </c>
      <c r="F18">
        <v>5977</v>
      </c>
      <c r="G18">
        <v>210</v>
      </c>
      <c r="H18" s="26">
        <f>IFERROR(B18/D18-1, "")</f>
        <v>6.1119030648610018E-2</v>
      </c>
      <c r="I18" s="26">
        <f>IFERROR(C18/E18-1, "")</f>
        <v>0.11587982832618016</v>
      </c>
      <c r="J18" s="26">
        <f>IFERROR(B18/F18-1, "")</f>
        <v>-3.6807763091851742E-3</v>
      </c>
      <c r="K18" s="26">
        <f>IFERROR(C18/G18-1, "")</f>
        <v>0.23809523809523814</v>
      </c>
    </row>
    <row r="19" spans="1:11" x14ac:dyDescent="0.25">
      <c r="A19" t="s">
        <v>34</v>
      </c>
      <c r="B19">
        <v>7666</v>
      </c>
      <c r="C19">
        <v>274</v>
      </c>
      <c r="D19">
        <v>5060</v>
      </c>
      <c r="E19">
        <v>369</v>
      </c>
      <c r="F19">
        <v>7099</v>
      </c>
      <c r="G19">
        <v>230</v>
      </c>
      <c r="H19" s="26">
        <f>IFERROR(B19/D19-1, "")</f>
        <v>0.51501976284584972</v>
      </c>
      <c r="I19" s="26">
        <f>IFERROR(C19/E19-1, "")</f>
        <v>-0.25745257452574521</v>
      </c>
      <c r="J19" s="26">
        <f>IFERROR(B19/F19-1, "")</f>
        <v>7.9870404282293306E-2</v>
      </c>
      <c r="K19" s="26">
        <f>IFERROR(C19/G19-1, "")</f>
        <v>0.19130434782608696</v>
      </c>
    </row>
    <row r="20" spans="1:11" x14ac:dyDescent="0.25">
      <c r="A20" t="s">
        <v>35</v>
      </c>
      <c r="B20">
        <v>10857</v>
      </c>
      <c r="C20">
        <v>281</v>
      </c>
      <c r="D20">
        <v>0</v>
      </c>
      <c r="E20">
        <v>0</v>
      </c>
      <c r="F20">
        <v>10799</v>
      </c>
      <c r="G20">
        <v>333</v>
      </c>
      <c r="H20" s="26" t="str">
        <f>IFERROR(B20/D20-1, "")</f>
        <v/>
      </c>
      <c r="I20" s="26" t="str">
        <f>IFERROR(C20/E20-1, "")</f>
        <v/>
      </c>
      <c r="J20" s="26">
        <f>IFERROR(B20/F20-1, "")</f>
        <v>5.3708676729327109E-3</v>
      </c>
      <c r="K20" s="26">
        <f>IFERROR(C20/G20-1, "")</f>
        <v>-0.15615615615615619</v>
      </c>
    </row>
    <row r="21" spans="1:11" x14ac:dyDescent="0.25">
      <c r="A21" t="s">
        <v>36</v>
      </c>
      <c r="B21">
        <v>9873</v>
      </c>
      <c r="C21">
        <v>370</v>
      </c>
      <c r="D21">
        <v>11069</v>
      </c>
      <c r="E21">
        <v>652</v>
      </c>
      <c r="F21" t="s">
        <v>38</v>
      </c>
      <c r="G21" t="s">
        <v>38</v>
      </c>
      <c r="H21" s="26">
        <f>IFERROR(B21/D21-1, "")</f>
        <v>-0.10804950763393262</v>
      </c>
      <c r="I21" s="26">
        <f>IFERROR(C21/E21-1, "")</f>
        <v>-0.43251533742331283</v>
      </c>
      <c r="J21" s="26" t="str">
        <f>IFERROR(B21/F21-1, "")</f>
        <v/>
      </c>
      <c r="K21" s="26" t="str">
        <f>IFERROR(C21/G21-1, "")</f>
        <v/>
      </c>
    </row>
    <row r="22" spans="1:11" x14ac:dyDescent="0.25">
      <c r="A22" t="s">
        <v>37</v>
      </c>
      <c r="B22">
        <v>6405</v>
      </c>
      <c r="C22">
        <v>363</v>
      </c>
      <c r="D22">
        <v>5995</v>
      </c>
      <c r="E22">
        <v>268</v>
      </c>
      <c r="F22">
        <v>0</v>
      </c>
      <c r="G22">
        <v>0</v>
      </c>
      <c r="H22" s="26">
        <f>IFERROR(B22/D22-1, "")</f>
        <v>6.8390325271059149E-2</v>
      </c>
      <c r="I22" s="26">
        <f>IFERROR(C22/E22-1, "")</f>
        <v>0.35447761194029859</v>
      </c>
      <c r="J22" s="26" t="str">
        <f>IFERROR(B22/F22-1, "")</f>
        <v/>
      </c>
      <c r="K22" s="26" t="str">
        <f>IFERROR(C22/G22-1, "")</f>
        <v/>
      </c>
    </row>
    <row r="25" spans="1:11" x14ac:dyDescent="0.25">
      <c r="C25" s="46"/>
    </row>
    <row r="27" spans="1:11" x14ac:dyDescent="0.25">
      <c r="C27" s="46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Purpose</vt:lpstr>
      <vt:lpstr>Formulas</vt:lpstr>
      <vt:lpstr>Tables</vt:lpstr>
      <vt:lpstr>PivotTables</vt:lpstr>
      <vt:lpstr>Table2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Mohammed Akbar</cp:lastModifiedBy>
  <dcterms:created xsi:type="dcterms:W3CDTF">2018-01-05T16:30:23Z</dcterms:created>
  <dcterms:modified xsi:type="dcterms:W3CDTF">2023-12-23T09:01:51Z</dcterms:modified>
</cp:coreProperties>
</file>